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7E7B38C0-58CB-48CC-AF2B-029424FEE32A}" xr6:coauthVersionLast="47" xr6:coauthVersionMax="47" xr10:uidLastSave="{00000000-0000-0000-0000-000000000000}"/>
  <bookViews>
    <workbookView xWindow="-120" yWindow="-120" windowWidth="19440" windowHeight="11640" xr2:uid="{0406F64B-55E7-41DA-819A-52950031B821}"/>
  </bookViews>
  <sheets>
    <sheet name="List4" sheetId="4" r:id="rId1"/>
    <sheet name="List10" sheetId="10" r:id="rId2"/>
    <sheet name="List8" sheetId="8" r:id="rId3"/>
    <sheet name="List7" sheetId="7" r:id="rId4"/>
    <sheet name="List6" sheetId="6" r:id="rId5"/>
    <sheet name="List5" sheetId="5" r:id="rId6"/>
    <sheet name="List3" sheetId="3" r:id="rId7"/>
    <sheet name="List2" sheetId="2" r:id="rId8"/>
    <sheet name="List1" sheetId="1" r:id="rId9"/>
  </sheets>
  <definedNames>
    <definedName name="_xlcn.WorksheetConnection_mse6_2.xlsxfunkce1" hidden="1">funkce[]</definedName>
    <definedName name="Průřez_funkce">#N/A</definedName>
    <definedName name="Průřez_NAME">#N/A</definedName>
    <definedName name="Průřez_NAME1">#N/A</definedName>
    <definedName name="Průřez_pocet_let_zpet">#N/A</definedName>
    <definedName name="Průřez_Rok">#N/A</definedName>
  </definedNames>
  <calcPr calcId="181029"/>
  <pivotCaches>
    <pivotCache cacheId="493" r:id="rId10"/>
    <pivotCache cacheId="496" r:id="rId11"/>
    <pivotCache cacheId="499" r:id="rId12"/>
    <pivotCache cacheId="503" r:id="rId13"/>
  </pivotCaches>
  <extLst>
    <ext xmlns:x14="http://schemas.microsoft.com/office/spreadsheetml/2009/9/main" uri="{876F7934-8845-4945-9796-88D515C7AA90}">
      <x14:pivotCaches>
        <pivotCache cacheId="491" r:id="rId14"/>
        <pivotCache cacheId="502" r:id="rId15"/>
        <pivotCache cacheId="515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492" r:id="rId22"/>
        <pivotCache cacheId="506" r:id="rId23"/>
        <pivotCache cacheId="509" r:id="rId24"/>
        <pivotCache cacheId="512" r:id="rId25"/>
        <pivotCache cacheId="516" r:id="rId26"/>
        <pivotCache cacheId="519" r:id="rId27"/>
        <pivotCache cacheId="522" r:id="rId28"/>
      </x15:pivotCaches>
    </ext>
    <ext xmlns:x15="http://schemas.microsoft.com/office/spreadsheetml/2010/11/main" uri="{983426D0-5260-488c-9760-48F4B6AC55F4}">
      <x15:pivotTableReferences>
        <x15:pivotTableReference r:id="rId29"/>
        <x15:pivotTableReference r:id="rId30"/>
        <x15:pivotTableReference r:id="rId31"/>
        <x15:pivotTableReference r:id="rId32"/>
        <x15:pivotTableReference r:id="rId33"/>
        <x15:pivotTableReference r:id="rId34"/>
        <x15:pivotTableReference r:id="rId3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4860fc10-33d8-47ff-a314-ddae389ac8d0" name="data" connection="Dotaz – data"/>
          <x15:modelTable id="pocet let zpet_9308324a-59f1-4d77-8365-512d4468d921" name="pocet let zpet" connection="Dotaz – pocet let zpet"/>
          <x15:modelTable id="dim roky_beb4b1a7-fad1-40d7-9790-a80562a359cc" name="dim roky" connection="Dotaz – dim roky"/>
          <x15:modelTable id="dim name_77b6a3a4-c978-48e3-815d-e335166bdb84" name="dim name" connection="Dotaz – dim name"/>
          <x15:modelTable id="funkce" name="funkce" connection="WorksheetConnection_mse6_2.xlsx!funkce"/>
        </x15:modelTables>
      </x15:dataModel>
    </ext>
  </extLst>
</workbook>
</file>

<file path=xl/calcChain.xml><?xml version="1.0" encoding="utf-8"?>
<calcChain xmlns="http://schemas.openxmlformats.org/spreadsheetml/2006/main">
  <c r="B51" i="3" l="1"/>
  <c r="B5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2E4390-50A9-4D28-A0AB-327F65E3BA17}" keepAlive="1" name="Dotaz – cesta_souboru" description="Připojení k dotazu produktu cesta_souboru v sešitě" type="5" refreshedVersion="0" background="1">
    <dbPr connection="Provider=Microsoft.Mashup.OleDb.1;Data Source=$Workbook$;Location=cesta_souboru;Extended Properties=&quot;&quot;" command="SELECT * FROM [cesta_souboru]"/>
  </connection>
  <connection id="2" xr16:uid="{BB53A8BB-FC11-494A-A73C-818A8EFC736E}" name="Dotaz – data" description="Připojení k dotazu produktu data v sešitě" type="100" refreshedVersion="7" minRefreshableVersion="5">
    <extLst>
      <ext xmlns:x15="http://schemas.microsoft.com/office/spreadsheetml/2010/11/main" uri="{DE250136-89BD-433C-8126-D09CA5730AF9}">
        <x15:connection id="3f5f326c-ffba-487a-b9ea-3685e53da790"/>
      </ext>
    </extLst>
  </connection>
  <connection id="3" xr16:uid="{E213AF00-85EE-4288-B329-D156B2EE2B40}" name="Dotaz – dim name" description="Připojení k dotazu produktu dim name v sešitě" type="100" refreshedVersion="7" minRefreshableVersion="5">
    <extLst>
      <ext xmlns:x15="http://schemas.microsoft.com/office/spreadsheetml/2010/11/main" uri="{DE250136-89BD-433C-8126-D09CA5730AF9}">
        <x15:connection id="5a6e92d4-7e19-4e80-8905-c40977bbf4bc">
          <x15:oledbPr connection="Provider=Microsoft.Mashup.OleDb.1;Data Source=$Workbook$;Location=&quot;dim name&quot;;Extended Properties=&quot;&quot;">
            <x15:dbTables>
              <x15:dbTable name="dim name"/>
            </x15:dbTables>
          </x15:oledbPr>
        </x15:connection>
      </ext>
    </extLst>
  </connection>
  <connection id="4" xr16:uid="{E5105463-E3FE-4CAF-AF95-83C8C34793B5}" name="Dotaz – dim roky" description="Připojení k dotazu produktu dim roky v sešitě" type="100" refreshedVersion="7" minRefreshableVersion="5">
    <extLst>
      <ext xmlns:x15="http://schemas.microsoft.com/office/spreadsheetml/2010/11/main" uri="{DE250136-89BD-433C-8126-D09CA5730AF9}">
        <x15:connection id="7f602953-428c-4f7c-9f21-c5d043760fa4">
          <x15:oledbPr connection="Provider=Microsoft.Mashup.OleDb.1;Data Source=$Workbook$;Location=&quot;dim roky&quot;;Extended Properties=&quot;&quot;">
            <x15:dbTables>
              <x15:dbTable name="dim roky"/>
            </x15:dbTables>
          </x15:oledbPr>
        </x15:connection>
      </ext>
    </extLst>
  </connection>
  <connection id="5" xr16:uid="{1A97F2B2-C567-48BB-9AEB-662C3F982EB4}" keepAlive="1" name="Dotaz – filtr_name" description="Připojení k dotazu produktu filtr_name v sešitě" type="5" refreshedVersion="0" background="1">
    <dbPr connection="Provider=Microsoft.Mashup.OleDb.1;Data Source=$Workbook$;Location=filtr_name;Extended Properties=&quot;&quot;" command="SELECT * FROM [filtr_name]"/>
  </connection>
  <connection id="6" xr16:uid="{1FF6AAB2-6032-4757-BFB5-3D8133ABAC1B}" name="Dotaz – pocet let zpet" description="Připojení k dotazu produktu pocet let zpet v sešitě" type="100" refreshedVersion="7" minRefreshableVersion="5">
    <extLst>
      <ext xmlns:x15="http://schemas.microsoft.com/office/spreadsheetml/2010/11/main" uri="{DE250136-89BD-433C-8126-D09CA5730AF9}">
        <x15:connection id="8de09f26-3791-4498-8d1c-9a1bc73f90e0">
          <x15:oledbPr connection="Provider=Microsoft.Mashup.OleDb.1;Data Source=$Workbook$;Location=&quot;pocet let zpet&quot;;Extended Properties=&quot;&quot;">
            <x15:dbTables>
              <x15:dbTable name="pocet let zpet"/>
            </x15:dbTables>
          </x15:oledbPr>
        </x15:connection>
      </ext>
    </extLst>
  </connection>
  <connection id="7" xr16:uid="{0A7F2247-A151-4613-B826-0ED079450F43}" keepAlive="1" name="ThisWorkbookDataModel" description="Datový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852D63D2-9558-4E82-BA6F-9EF33D5BAD4D}" name="WorksheetConnection_mse6_2.xlsx!funkce" type="102" refreshedVersion="7" minRefreshableVersion="5">
    <extLst>
      <ext xmlns:x15="http://schemas.microsoft.com/office/spreadsheetml/2010/11/main" uri="{DE250136-89BD-433C-8126-D09CA5730AF9}">
        <x15:connection id="funkce">
          <x15:rangePr sourceName="_xlcn.WorksheetConnection_mse6_2.xlsxfunkc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[Measures].[min_srazky]"/>
    <s v="[data].[Rok].&amp;[2001]"/>
    <s v="[data].[Rok].&amp;[2002]"/>
  </metadataStrings>
  <mdxMetadata count="2">
    <mdx n="0" f="v">
      <t c="2" fi="0">
        <n x="1"/>
        <n x="2"/>
      </t>
    </mdx>
    <mdx n="0" f="v">
      <t c="2" fi="0">
        <n x="1"/>
        <n x="3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<sst xmlns="http://schemas.openxmlformats.org/spreadsheetml/2006/main" count="18" uniqueCount="13">
  <si>
    <t>Popisky řádků</t>
  </si>
  <si>
    <t>Celkový součet</t>
  </si>
  <si>
    <t>Součet PRCP</t>
  </si>
  <si>
    <t>srazky mezirocne</t>
  </si>
  <si>
    <t>narust</t>
  </si>
  <si>
    <t>pokles</t>
  </si>
  <si>
    <t>Počet Rok</t>
  </si>
  <si>
    <t>suma srazek v roce vs. max rok</t>
  </si>
  <si>
    <t>index</t>
  </si>
  <si>
    <t>funkce</t>
  </si>
  <si>
    <t>Suma</t>
  </si>
  <si>
    <t>Průměr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</si>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</sst>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hisWorkbookDataModel">
      <tp t="e">
        <v>#N/A</v>
        <stp>1</stp>
        <tr r="B52" s="3"/>
        <tr r="B51" s="3"/>
      </tp>
    </main>
  </volType>
</volType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2.xml"/><Relationship Id="rId26" Type="http://schemas.openxmlformats.org/officeDocument/2006/relationships/pivotCacheDefinition" Target="pivotCache/pivotCacheDefinition12.xml"/><Relationship Id="rId39" Type="http://schemas.openxmlformats.org/officeDocument/2006/relationships/sharedStrings" Target="sharedStrings.xml"/><Relationship Id="rId21" Type="http://schemas.microsoft.com/office/2007/relationships/slicerCache" Target="slicerCaches/slicerCache5.xml"/><Relationship Id="rId34" Type="http://schemas.openxmlformats.org/officeDocument/2006/relationships/pivotTable" Target="pivotTables/pivotTable6.xml"/><Relationship Id="rId42" Type="http://schemas.openxmlformats.org/officeDocument/2006/relationships/calcChain" Target="calcChain.xml"/><Relationship Id="rId47" Type="http://schemas.openxmlformats.org/officeDocument/2006/relationships/customXml" Target="../customXml/item5.xml"/><Relationship Id="rId50" Type="http://schemas.openxmlformats.org/officeDocument/2006/relationships/customXml" Target="../customXml/item8.xml"/><Relationship Id="rId55" Type="http://schemas.openxmlformats.org/officeDocument/2006/relationships/customXml" Target="../customXml/item13.xml"/><Relationship Id="rId63" Type="http://schemas.openxmlformats.org/officeDocument/2006/relationships/customXml" Target="../customXml/item21.xml"/><Relationship Id="rId68" Type="http://schemas.openxmlformats.org/officeDocument/2006/relationships/volatileDependencies" Target="volatileDependenci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pivotTable" Target="pivotTables/pivotTabl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0.xml"/><Relationship Id="rId32" Type="http://schemas.openxmlformats.org/officeDocument/2006/relationships/pivotTable" Target="pivotTables/pivotTable4.xml"/><Relationship Id="rId37" Type="http://schemas.openxmlformats.org/officeDocument/2006/relationships/connections" Target="connections.xml"/><Relationship Id="rId40" Type="http://schemas.openxmlformats.org/officeDocument/2006/relationships/sheetMetadata" Target="metadata.xml"/><Relationship Id="rId45" Type="http://schemas.openxmlformats.org/officeDocument/2006/relationships/customXml" Target="../customXml/item3.xml"/><Relationship Id="rId53" Type="http://schemas.openxmlformats.org/officeDocument/2006/relationships/customXml" Target="../customXml/item11.xml"/><Relationship Id="rId58" Type="http://schemas.openxmlformats.org/officeDocument/2006/relationships/customXml" Target="../customXml/item16.xml"/><Relationship Id="rId66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9.xml"/><Relationship Id="rId28" Type="http://schemas.openxmlformats.org/officeDocument/2006/relationships/pivotCacheDefinition" Target="pivotCache/pivotCacheDefinition14.xml"/><Relationship Id="rId36" Type="http://schemas.openxmlformats.org/officeDocument/2006/relationships/theme" Target="theme/theme1.xml"/><Relationship Id="rId49" Type="http://schemas.openxmlformats.org/officeDocument/2006/relationships/customXml" Target="../customXml/item7.xml"/><Relationship Id="rId57" Type="http://schemas.openxmlformats.org/officeDocument/2006/relationships/customXml" Target="../customXml/item15.xml"/><Relationship Id="rId61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3.xml"/><Relationship Id="rId31" Type="http://schemas.openxmlformats.org/officeDocument/2006/relationships/pivotTable" Target="pivotTables/pivotTable3.xml"/><Relationship Id="rId44" Type="http://schemas.openxmlformats.org/officeDocument/2006/relationships/customXml" Target="../customXml/item2.xml"/><Relationship Id="rId52" Type="http://schemas.openxmlformats.org/officeDocument/2006/relationships/customXml" Target="../customXml/item10.xml"/><Relationship Id="rId60" Type="http://schemas.openxmlformats.org/officeDocument/2006/relationships/customXml" Target="../customXml/item18.xml"/><Relationship Id="rId65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pivotTable" Target="pivotTables/pivotTable2.xml"/><Relationship Id="rId35" Type="http://schemas.openxmlformats.org/officeDocument/2006/relationships/pivotTable" Target="pivotTables/pivotTable7.xml"/><Relationship Id="rId43" Type="http://schemas.openxmlformats.org/officeDocument/2006/relationships/customXml" Target="../customXml/item1.xml"/><Relationship Id="rId48" Type="http://schemas.openxmlformats.org/officeDocument/2006/relationships/customXml" Target="../customXml/item6.xml"/><Relationship Id="rId56" Type="http://schemas.openxmlformats.org/officeDocument/2006/relationships/customXml" Target="../customXml/item14.xml"/><Relationship Id="rId64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1.xml"/><Relationship Id="rId25" Type="http://schemas.openxmlformats.org/officeDocument/2006/relationships/pivotCacheDefinition" Target="pivotCache/pivotCacheDefinition11.xml"/><Relationship Id="rId33" Type="http://schemas.openxmlformats.org/officeDocument/2006/relationships/pivotTable" Target="pivotTables/pivotTable5.xml"/><Relationship Id="rId38" Type="http://schemas.openxmlformats.org/officeDocument/2006/relationships/styles" Target="styles.xml"/><Relationship Id="rId46" Type="http://schemas.openxmlformats.org/officeDocument/2006/relationships/customXml" Target="../customXml/item4.xml"/><Relationship Id="rId59" Type="http://schemas.openxmlformats.org/officeDocument/2006/relationships/customXml" Target="../customXml/item17.xml"/><Relationship Id="rId67" Type="http://schemas.openxmlformats.org/officeDocument/2006/relationships/customXml" Target="../customXml/item25.xml"/><Relationship Id="rId20" Type="http://schemas.microsoft.com/office/2007/relationships/slicerCache" Target="slicerCaches/slicerCache4.xml"/><Relationship Id="rId41" Type="http://schemas.openxmlformats.org/officeDocument/2006/relationships/powerPivotData" Target="model/item.data"/><Relationship Id="rId54" Type="http://schemas.openxmlformats.org/officeDocument/2006/relationships/customXml" Target="../customXml/item12.xml"/><Relationship Id="rId62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Celkem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0">
                <c:v>40</c:v>
              </c:pt>
              <c:pt idx="1">
                <c:v>41.1</c:v>
              </c:pt>
              <c:pt idx="2">
                <c:v>101.5</c:v>
              </c:pt>
              <c:pt idx="3">
                <c:v>77.099999999999994</c:v>
              </c:pt>
              <c:pt idx="4">
                <c:v>66.2</c:v>
              </c:pt>
              <c:pt idx="5">
                <c:v>70.099999999999994</c:v>
              </c:pt>
              <c:pt idx="6">
                <c:v>76.5</c:v>
              </c:pt>
              <c:pt idx="7">
                <c:v>77</c:v>
              </c:pt>
              <c:pt idx="8">
                <c:v>85</c:v>
              </c:pt>
              <c:pt idx="9">
                <c:v>67.5</c:v>
              </c:pt>
              <c:pt idx="10">
                <c:v>69.099999999999994</c:v>
              </c:pt>
              <c:pt idx="11">
                <c:v>68.3</c:v>
              </c:pt>
              <c:pt idx="12">
                <c:v>55.1</c:v>
              </c:pt>
              <c:pt idx="13">
                <c:v>126</c:v>
              </c:pt>
              <c:pt idx="14">
                <c:v>63</c:v>
              </c:pt>
              <c:pt idx="15">
                <c:v>113</c:v>
              </c:pt>
              <c:pt idx="16">
                <c:v>124</c:v>
              </c:pt>
              <c:pt idx="17">
                <c:v>98</c:v>
              </c:pt>
              <c:pt idx="18">
                <c:v>86.1</c:v>
              </c:pt>
              <c:pt idx="19">
                <c:v>140</c:v>
              </c:pt>
              <c:pt idx="20">
                <c:v>99.4</c:v>
              </c:pt>
            </c:numLit>
          </c:val>
          <c:extLst>
            <c:ext xmlns:c16="http://schemas.microsoft.com/office/drawing/2014/chart" uri="{C3380CC4-5D6E-409C-BE32-E72D297353CC}">
              <c16:uniqueId val="{00000001-D0C5-4F76-8C2B-98FEFA51B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56936"/>
        <c:axId val="809447424"/>
      </c:barChart>
      <c:catAx>
        <c:axId val="8094569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4474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094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45693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[mse6_2.xlsx]PivotChartTable7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Průměr PRCP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2.0913512413512469</c:v>
              </c:pt>
              <c:pt idx="1">
                <c:v>1.5799820466786347</c:v>
              </c:pt>
              <c:pt idx="2">
                <c:v>1.5885300901656532</c:v>
              </c:pt>
              <c:pt idx="3">
                <c:v>1.6067017082785828</c:v>
              </c:pt>
              <c:pt idx="4">
                <c:v>3.2368111831442468</c:v>
              </c:pt>
              <c:pt idx="5">
                <c:v>3.7091252359974813</c:v>
              </c:pt>
              <c:pt idx="6">
                <c:v>3.3841910251132199</c:v>
              </c:pt>
              <c:pt idx="7">
                <c:v>3.4465086754126126</c:v>
              </c:pt>
              <c:pt idx="8">
                <c:v>2.7738352027609952</c:v>
              </c:pt>
              <c:pt idx="9">
                <c:v>2.0006718454755412</c:v>
              </c:pt>
              <c:pt idx="10">
                <c:v>1.5999328859060415</c:v>
              </c:pt>
              <c:pt idx="11">
                <c:v>1.4800735612289073</c:v>
              </c:pt>
            </c:numLit>
          </c:val>
          <c:extLst>
            <c:ext xmlns:c16="http://schemas.microsoft.com/office/drawing/2014/chart" uri="{C3380CC4-5D6E-409C-BE32-E72D297353CC}">
              <c16:uniqueId val="{00000001-9169-4A57-B3BA-25AB88233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7937624"/>
        <c:axId val="809641320"/>
      </c:barChart>
      <c:lineChart>
        <c:grouping val="standard"/>
        <c:varyColors val="0"/>
        <c:ser>
          <c:idx val="1"/>
          <c:order val="1"/>
          <c:tx>
            <c:v>prumer dennich srazek max rok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9.0930875576036865</c:v>
              </c:pt>
              <c:pt idx="1">
                <c:v>6.5612359550561798</c:v>
              </c:pt>
              <c:pt idx="2">
                <c:v>2.1074257425742569</c:v>
              </c:pt>
              <c:pt idx="3">
                <c:v>3.7856459330143553</c:v>
              </c:pt>
              <c:pt idx="4">
                <c:v>2.5836448598130852</c:v>
              </c:pt>
              <c:pt idx="5">
                <c:v>3.9249999999999998</c:v>
              </c:pt>
              <c:pt idx="6">
                <c:v>4.5924778761061953</c:v>
              </c:pt>
              <c:pt idx="7">
                <c:v>4.0287081339712927</c:v>
              </c:pt>
              <c:pt idx="8">
                <c:v>4.6545871559633021</c:v>
              </c:pt>
              <c:pt idx="9">
                <c:v>2.2323671497584541</c:v>
              </c:pt>
              <c:pt idx="10">
                <c:v>2.0005050505050508</c:v>
              </c:pt>
              <c:pt idx="11">
                <c:v>2.0810810810810811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169-4A57-B3BA-25AB88233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37624"/>
        <c:axId val="809641320"/>
      </c:lineChart>
      <c:catAx>
        <c:axId val="807937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64132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09641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793762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[mse6_2.xlsx]PivotChartTable4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Min PRCP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2A7-4C86-BEB8-7478B1F7EBED}"/>
            </c:ext>
          </c:extLst>
        </c:ser>
        <c:ser>
          <c:idx val="1"/>
          <c:order val="1"/>
          <c:tx>
            <c:v>Max PRCP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0">
                <c:v>40</c:v>
              </c:pt>
              <c:pt idx="1">
                <c:v>41.1</c:v>
              </c:pt>
              <c:pt idx="2">
                <c:v>101.5</c:v>
              </c:pt>
              <c:pt idx="3">
                <c:v>77.099999999999994</c:v>
              </c:pt>
              <c:pt idx="4">
                <c:v>66.2</c:v>
              </c:pt>
              <c:pt idx="5">
                <c:v>70.099999999999994</c:v>
              </c:pt>
              <c:pt idx="6">
                <c:v>76.5</c:v>
              </c:pt>
              <c:pt idx="7">
                <c:v>77</c:v>
              </c:pt>
              <c:pt idx="8">
                <c:v>85</c:v>
              </c:pt>
              <c:pt idx="9">
                <c:v>67.5</c:v>
              </c:pt>
              <c:pt idx="10">
                <c:v>69.099999999999994</c:v>
              </c:pt>
              <c:pt idx="11">
                <c:v>68.3</c:v>
              </c:pt>
              <c:pt idx="12">
                <c:v>55.1</c:v>
              </c:pt>
              <c:pt idx="13">
                <c:v>126</c:v>
              </c:pt>
              <c:pt idx="14">
                <c:v>63</c:v>
              </c:pt>
              <c:pt idx="15">
                <c:v>113</c:v>
              </c:pt>
              <c:pt idx="16">
                <c:v>124</c:v>
              </c:pt>
              <c:pt idx="17">
                <c:v>98</c:v>
              </c:pt>
              <c:pt idx="18">
                <c:v>86.1</c:v>
              </c:pt>
              <c:pt idx="19">
                <c:v>140</c:v>
              </c:pt>
              <c:pt idx="20">
                <c:v>99.4</c:v>
              </c:pt>
            </c:numLit>
          </c:val>
          <c:extLst>
            <c:ext xmlns:c16="http://schemas.microsoft.com/office/drawing/2014/chart" uri="{C3380CC4-5D6E-409C-BE32-E72D297353CC}">
              <c16:uniqueId val="{00000003-32A7-4C86-BEB8-7478B1F7E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52672"/>
        <c:axId val="809450048"/>
      </c:barChart>
      <c:catAx>
        <c:axId val="809452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4500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094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45267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Min PRCP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499-48C9-B60D-FDC6FFD3F131}"/>
            </c:ext>
          </c:extLst>
        </c:ser>
        <c:ser>
          <c:idx val="1"/>
          <c:order val="1"/>
          <c:tx>
            <c:v>minimalni srazky napric roky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8499-48C9-B60D-FDC6FFD3F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52672"/>
        <c:axId val="809450048"/>
      </c:barChart>
      <c:catAx>
        <c:axId val="809452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4500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094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0945267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[mse6_2.xlsx]PivotChartTable6</c15:name>
        <c15:fmtId val="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Celkem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26.1</c:v>
              </c:pt>
              <c:pt idx="1">
                <c:v>4.0999999999999996</c:v>
              </c:pt>
              <c:pt idx="2">
                <c:v>4.4000000000000004</c:v>
              </c:pt>
              <c:pt idx="3">
                <c:v>19.100000000000001</c:v>
              </c:pt>
              <c:pt idx="4">
                <c:v>95.999999999999986</c:v>
              </c:pt>
              <c:pt idx="5">
                <c:v>60.100000000000009</c:v>
              </c:pt>
              <c:pt idx="6">
                <c:v>59.899999999999991</c:v>
              </c:pt>
              <c:pt idx="7">
                <c:v>36.9</c:v>
              </c:pt>
              <c:pt idx="8">
                <c:v>22.4</c:v>
              </c:pt>
              <c:pt idx="9">
                <c:v>50.899999999999991</c:v>
              </c:pt>
              <c:pt idx="10">
                <c:v>32.599999999999994</c:v>
              </c:pt>
              <c:pt idx="11">
                <c:v>45.699999999999989</c:v>
              </c:pt>
            </c:numLit>
          </c:val>
          <c:extLst>
            <c:ext xmlns:c16="http://schemas.microsoft.com/office/drawing/2014/chart" uri="{C3380CC4-5D6E-409C-BE32-E72D297353CC}">
              <c16:uniqueId val="{00000001-087E-4CC0-A5A7-400209570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021912"/>
        <c:axId val="483021584"/>
      </c:barChart>
      <c:catAx>
        <c:axId val="483021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8302158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830215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8302191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Celkem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26.1</c:v>
              </c:pt>
              <c:pt idx="1">
                <c:v>30.200000000000003</c:v>
              </c:pt>
              <c:pt idx="2">
                <c:v>34.599999999999994</c:v>
              </c:pt>
              <c:pt idx="3">
                <c:v>53.699999999999989</c:v>
              </c:pt>
              <c:pt idx="4">
                <c:v>149.70000000000005</c:v>
              </c:pt>
              <c:pt idx="5">
                <c:v>209.8</c:v>
              </c:pt>
              <c:pt idx="6">
                <c:v>269.7</c:v>
              </c:pt>
              <c:pt idx="7">
                <c:v>306.60000000000002</c:v>
              </c:pt>
              <c:pt idx="8">
                <c:v>329.00000000000006</c:v>
              </c:pt>
              <c:pt idx="9">
                <c:v>379.90000000000003</c:v>
              </c:pt>
              <c:pt idx="10">
                <c:v>412.50000000000006</c:v>
              </c:pt>
              <c:pt idx="11">
                <c:v>458.20000000000005</c:v>
              </c:pt>
            </c:numLit>
          </c:val>
          <c:extLst>
            <c:ext xmlns:c16="http://schemas.microsoft.com/office/drawing/2014/chart" uri="{C3380CC4-5D6E-409C-BE32-E72D297353CC}">
              <c16:uniqueId val="{00000001-6A08-449A-83EC-D659AAB1B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931384"/>
        <c:axId val="838933024"/>
      </c:barChart>
      <c:catAx>
        <c:axId val="838931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893302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389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3893138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Součet PRCP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0">
                <c:v>404.90000000000009</c:v>
              </c:pt>
              <c:pt idx="1">
                <c:v>538.40000000000009</c:v>
              </c:pt>
              <c:pt idx="2">
                <c:v>481.60000000000025</c:v>
              </c:pt>
              <c:pt idx="3">
                <c:v>458.19999999999987</c:v>
              </c:pt>
              <c:pt idx="4">
                <c:v>447.09999999999991</c:v>
              </c:pt>
              <c:pt idx="5">
                <c:v>574.9000000000002</c:v>
              </c:pt>
              <c:pt idx="6">
                <c:v>652.20000000000027</c:v>
              </c:pt>
              <c:pt idx="7">
                <c:v>479.40000000000015</c:v>
              </c:pt>
              <c:pt idx="8">
                <c:v>427.90000000000003</c:v>
              </c:pt>
              <c:pt idx="9">
                <c:v>557.8000000000003</c:v>
              </c:pt>
              <c:pt idx="10">
                <c:v>689.39999999999986</c:v>
              </c:pt>
              <c:pt idx="11">
                <c:v>390.30000000000013</c:v>
              </c:pt>
              <c:pt idx="12">
                <c:v>420.40000000000003</c:v>
              </c:pt>
              <c:pt idx="13">
                <c:v>577.00000000000011</c:v>
              </c:pt>
              <c:pt idx="14">
                <c:v>602</c:v>
              </c:pt>
              <c:pt idx="15">
                <c:v>393.2</c:v>
              </c:pt>
              <c:pt idx="16">
                <c:v>616.5</c:v>
              </c:pt>
              <c:pt idx="17">
                <c:v>1702.3999999999987</c:v>
              </c:pt>
              <c:pt idx="18">
                <c:v>510.5</c:v>
              </c:pt>
              <c:pt idx="19">
                <c:v>647.59999999999991</c:v>
              </c:pt>
              <c:pt idx="20">
                <c:v>610.6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AB8-49C7-AA30-1459D2F2D6BF}"/>
            </c:ext>
          </c:extLst>
        </c:ser>
        <c:ser>
          <c:idx val="1"/>
          <c:order val="1"/>
          <c:tx>
            <c:v>srazky minule obdobi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</c:strLit>
          </c:cat>
          <c:val>
            <c:numLit>
              <c:formatCode>General</c:formatCode>
              <c:ptCount val="21"/>
              <c:pt idx="3">
                <c:v>404.90000000000032</c:v>
              </c:pt>
              <c:pt idx="4">
                <c:v>538.4000000000002</c:v>
              </c:pt>
              <c:pt idx="5">
                <c:v>481.60000000000042</c:v>
              </c:pt>
              <c:pt idx="6">
                <c:v>458.20000000000005</c:v>
              </c:pt>
              <c:pt idx="7">
                <c:v>447.10000000000019</c:v>
              </c:pt>
              <c:pt idx="8">
                <c:v>574.8999999999993</c:v>
              </c:pt>
              <c:pt idx="9">
                <c:v>652.19999999999925</c:v>
              </c:pt>
              <c:pt idx="10">
                <c:v>479.40000000000038</c:v>
              </c:pt>
              <c:pt idx="11">
                <c:v>427.90000000000032</c:v>
              </c:pt>
              <c:pt idx="12">
                <c:v>557.7999999999995</c:v>
              </c:pt>
              <c:pt idx="13">
                <c:v>689.39999999999884</c:v>
              </c:pt>
              <c:pt idx="14">
                <c:v>390.3000000000003</c:v>
              </c:pt>
              <c:pt idx="15">
                <c:v>420.40000000000032</c:v>
              </c:pt>
              <c:pt idx="16">
                <c:v>576.99999999999943</c:v>
              </c:pt>
              <c:pt idx="17">
                <c:v>601.99999999999932</c:v>
              </c:pt>
              <c:pt idx="18">
                <c:v>393.20000000000022</c:v>
              </c:pt>
              <c:pt idx="19">
                <c:v>616.49999999999932</c:v>
              </c:pt>
              <c:pt idx="20">
                <c:v>1702.399999999998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BAB8-49C7-AA30-1459D2F2D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598800"/>
        <c:axId val="485601096"/>
      </c:lineChart>
      <c:catAx>
        <c:axId val="485598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856010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8560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8559880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extLst>
    <c:ext xmlns:c15="http://schemas.microsoft.com/office/drawing/2012/chart" uri="{723BEF56-08C2-4564-9609-F4CBC75E7E54}">
      <c15:pivotSource>
        <c15:name>[mse6_2.xlsx]PivotChartTable3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133350</xdr:rowOff>
    </xdr:from>
    <xdr:to>
      <xdr:col>8</xdr:col>
      <xdr:colOff>482600</xdr:colOff>
      <xdr:row>16</xdr:row>
      <xdr:rowOff>6350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5134970B-82E9-4DFC-82E2-7E2517555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342900</xdr:colOff>
      <xdr:row>2</xdr:row>
      <xdr:rowOff>9525</xdr:rowOff>
    </xdr:from>
    <xdr:to>
      <xdr:col>12</xdr:col>
      <xdr:colOff>342900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unkce">
              <a:extLst>
                <a:ext uri="{FF2B5EF4-FFF2-40B4-BE49-F238E27FC236}">
                  <a16:creationId xmlns:a16="http://schemas.microsoft.com/office/drawing/2014/main" id="{14FDEC01-BF22-4F83-8EB0-65B8D3BDBE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k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2</xdr:row>
      <xdr:rowOff>0</xdr:rowOff>
    </xdr:from>
    <xdr:to>
      <xdr:col>12</xdr:col>
      <xdr:colOff>238124</xdr:colOff>
      <xdr:row>19</xdr:row>
      <xdr:rowOff>152400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8764D04D-D143-42E6-97A6-02D82599D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20</xdr:row>
      <xdr:rowOff>152400</xdr:rowOff>
    </xdr:from>
    <xdr:to>
      <xdr:col>12</xdr:col>
      <xdr:colOff>161925</xdr:colOff>
      <xdr:row>35</xdr:row>
      <xdr:rowOff>25400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E21DCCC-FB1E-4D2E-B4FB-2B0F99BEC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12</xdr:col>
      <xdr:colOff>209550</xdr:colOff>
      <xdr:row>51</xdr:row>
      <xdr:rowOff>63500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463EAAB6-91CD-49DC-A60E-1434DA8B5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0EEAA07-39D5-437F-BD26-B2E0B003C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142875</xdr:colOff>
      <xdr:row>2</xdr:row>
      <xdr:rowOff>0</xdr:rowOff>
    </xdr:from>
    <xdr:to>
      <xdr:col>15</xdr:col>
      <xdr:colOff>142875</xdr:colOff>
      <xdr:row>18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ok">
              <a:extLst>
                <a:ext uri="{FF2B5EF4-FFF2-40B4-BE49-F238E27FC236}">
                  <a16:creationId xmlns:a16="http://schemas.microsoft.com/office/drawing/2014/main" id="{2F18055C-94D6-477C-977E-78EDD22642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2358" y="381000"/>
              <a:ext cx="1832741" cy="3171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76200</xdr:colOff>
      <xdr:row>2</xdr:row>
      <xdr:rowOff>0</xdr:rowOff>
    </xdr:from>
    <xdr:to>
      <xdr:col>12</xdr:col>
      <xdr:colOff>76200</xdr:colOff>
      <xdr:row>18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NAME 1">
              <a:extLst>
                <a:ext uri="{FF2B5EF4-FFF2-40B4-BE49-F238E27FC236}">
                  <a16:creationId xmlns:a16="http://schemas.microsoft.com/office/drawing/2014/main" id="{3BC8B861-620A-4926-9139-A03A72B016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2941" y="381000"/>
              <a:ext cx="1832742" cy="3171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  <xdr:twoCellAnchor>
    <xdr:from>
      <xdr:col>1</xdr:col>
      <xdr:colOff>76200</xdr:colOff>
      <xdr:row>17</xdr:row>
      <xdr:rowOff>14287</xdr:rowOff>
    </xdr:from>
    <xdr:to>
      <xdr:col>8</xdr:col>
      <xdr:colOff>381000</xdr:colOff>
      <xdr:row>31</xdr:row>
      <xdr:rowOff>90487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FB622CD9-DB3B-4FDD-8C9A-69F297341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105189</xdr:colOff>
      <xdr:row>32</xdr:row>
      <xdr:rowOff>28368</xdr:rowOff>
    </xdr:from>
    <xdr:to>
      <xdr:col>8</xdr:col>
      <xdr:colOff>409989</xdr:colOff>
      <xdr:row>46</xdr:row>
      <xdr:rowOff>104568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14C54808-3973-4DE1-9EFC-A2E94FBBD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510332</xdr:colOff>
      <xdr:row>32</xdr:row>
      <xdr:rowOff>30208</xdr:rowOff>
    </xdr:from>
    <xdr:to>
      <xdr:col>11</xdr:col>
      <xdr:colOff>500392</xdr:colOff>
      <xdr:row>41</xdr:row>
      <xdr:rowOff>11206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ocet let zpet">
              <a:extLst>
                <a:ext uri="{FF2B5EF4-FFF2-40B4-BE49-F238E27FC236}">
                  <a16:creationId xmlns:a16="http://schemas.microsoft.com/office/drawing/2014/main" id="{C7B5CF05-B38C-4A4E-B3DB-3BCA105328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cet let zp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6160" y="6126208"/>
              <a:ext cx="1822801" cy="16954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1</xdr:row>
      <xdr:rowOff>95250</xdr:rowOff>
    </xdr:from>
    <xdr:to>
      <xdr:col>8</xdr:col>
      <xdr:colOff>95250</xdr:colOff>
      <xdr:row>20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AME">
              <a:extLst>
                <a:ext uri="{FF2B5EF4-FFF2-40B4-BE49-F238E27FC236}">
                  <a16:creationId xmlns:a16="http://schemas.microsoft.com/office/drawing/2014/main" id="{844649DA-B673-457A-89F8-3A9FC5B22C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50" y="285750"/>
              <a:ext cx="1828800" cy="3629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Student" refreshedDate="44477.674837500002" createdVersion="3" refreshedVersion="7" minRefreshableVersion="3" recordCount="0" tupleCache="1" xr:uid="{E76B859B-544C-46D9-84F3-BDA509E11C36}">
  <cacheSource type="external" connectionId="7"/>
  <cacheFields count="2">
    <cacheField name="[Measures].[MeasuresLevel]" caption="MeasuresLevel" numFmtId="0" hierarchy="15">
      <sharedItems count="1">
        <s v="[Measures].[min_srazky]" c="min_srazky"/>
      </sharedItems>
    </cacheField>
    <cacheField name="[data].[Rok].[Rok]" caption="Rok" numFmtId="0" hierarchy="3" level="1">
      <sharedItems count="2">
        <s v="[data].[Rok].&amp;[2001]" c="2001"/>
        <s v="[data].[Rok].&amp;[2002]" c="2002"/>
      </sharedItems>
    </cacheField>
  </cacheFields>
  <cacheHierarchies count="39">
    <cacheHierarchy uniqueName="[data].[NAME]" caption="NAME" attribute="1" defaultMemberUniqueName="[data].[NAME].[All]" allUniqueName="[data].[NAME].[All]" dimensionUniqueName="[data]" displayFolder="" count="2" memberValueDatatype="130" unbalanced="0"/>
    <cacheHierarchy uniqueName="[data].[DATE]" caption="DATE" attribute="1" time="1" defaultMemberUniqueName="[data].[DATE].[All]" allUniqueName="[data].[DATE].[All]" dimensionUniqueName="[data]" displayFolder="" count="2" memberValueDatatype="7" unbalanced="0"/>
    <cacheHierarchy uniqueName="[data].[PRCP]" caption="PRCP" attribute="1" defaultMemberUniqueName="[data].[PRCP].[All]" allUniqueName="[data].[PRCP].[All]" dimensionUniqueName="[data]" displayFolder="" count="2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1"/>
      </fieldsUsage>
    </cacheHierarchy>
    <cacheHierarchy uniqueName="[data].[Mesic]" caption="Mesic" attribute="1" defaultMemberUniqueName="[data].[Mesic].[All]" allUniqueName="[data].[Mesic].[All]" dimensionUniqueName="[data]" displayFolder="" count="2" memberValueDatatype="20" unbalanced="0"/>
    <cacheHierarchy uniqueName="[dim name].[NAME]" caption="NAME" attribute="1" defaultMemberUniqueName="[dim name].[NAME].[All]" allUniqueName="[dim name].[NAME].[All]" dimensionUniqueName="[dim name]" displayFolder="" count="2" memberValueDatatype="130" unbalanced="0"/>
    <cacheHierarchy uniqueName="[dim roky].[Rok]" caption="Rok" attribute="1" defaultMemberUniqueName="[dim roky].[Rok].[All]" allUniqueName="[dim roky].[Rok].[All]" dimensionUniqueName="[dim roky]" displayFolder="" count="2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2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2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2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2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2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2" memberValueDatatype="7" unbalanced="0"/>
    <cacheHierarchy uniqueName="[funkce].[index]" caption="index" attribute="1" defaultMemberUniqueName="[funkce].[index].[All]" allUniqueName="[funkce].[index].[All]" dimensionUniqueName="[funkce]" displayFolder="" count="2" memberValueDatatype="20" unbalanced="0"/>
    <cacheHierarchy uniqueName="[funkce].[funkce]" caption="funkce" attribute="1" defaultMemberUniqueName="[funkce].[funkce].[All]" allUniqueName="[funkce].[funkce].[All]" dimensionUniqueName="[funkce]" displayFolder="" count="2" memberValueDatatype="130" unbalanced="0"/>
    <cacheHierarchy uniqueName="[Measures]" caption="Measures" attribute="1" keyAttribute="1" defaultMemberUniqueName="[Measures].[__No measures defined]" dimensionUniqueName="[Measures]" displayFolder="" measures="1" count="1" memberValueDatatype="130" unbalanced="0">
      <fieldsUsage count="1">
        <fieldUsage x="0"/>
      </fieldsUsage>
    </cacheHierarchy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2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tupleCache>
    <entries count="2">
      <n v="41.1" in="0">
        <tpls c="2">
          <tpl fld="1" item="0"/>
          <tpl fld="0" item="0"/>
        </tpls>
      </n>
      <n v="101.5" in="0">
        <tpls c="2">
          <tpl fld="1" item="1"/>
          <tpl fld="0" item="0"/>
        </tpls>
      </n>
    </entries>
    <queryCache count="3">
      <query mdx="[Measures].[min_srazky]">
        <tpls c="1">
          <tpl fld="0" item="0"/>
        </tpls>
      </query>
      <query mdx="[data].[Rok].[All].[2001]">
        <tpls c="1">
          <tpl fld="1" item="0"/>
        </tpls>
      </query>
      <query mdx="[data].[Rok].[All].[2002]">
        <tpls c="1">
          <tpl fld="1" item="1"/>
        </tpls>
      </query>
    </queryCache>
    <serverFormats count="1">
      <serverFormat format="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38657411" createdVersion="5" refreshedVersion="7" minRefreshableVersion="3" recordCount="0" supportSubquery="1" supportAdvancedDrill="1" xr:uid="{7B1F02D1-F94C-4C62-9892-D9D788BA7B48}">
  <cacheSource type="external" connectionId="7"/>
  <cacheFields count="2">
    <cacheField name="[dim roky].[Mezirocni zmena].[Mezirocni zmena]" caption="Mezirocni zmena" numFmtId="0" hierarchy="9" level="1">
      <sharedItems count="2">
        <s v="narust"/>
        <s v="pokles"/>
      </sharedItems>
    </cacheField>
    <cacheField name="[Measures].[Počet Rok]" caption="Počet Rok" numFmtId="0" hierarchy="18" level="32767"/>
  </cacheFields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2" memberValueDatatype="130" unbalanced="0">
      <fieldsUsage count="2">
        <fieldUsage x="-1"/>
        <fieldUsage x="0"/>
      </fieldsUsage>
    </cacheHierarchy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39814812" createdVersion="5" refreshedVersion="7" minRefreshableVersion="3" recordCount="0" supportSubquery="1" supportAdvancedDrill="1" xr:uid="{292D5EF3-E82A-4D4A-9DB1-A8D00AAF76AF}">
  <cacheSource type="external" connectionId="7"/>
  <cacheFields count="3">
    <cacheField name="[data].[Rok].[Rok]" caption="Rok" numFmtId="0" hierarchy="3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</x15:cachedUniqueNames>
        </ext>
      </extLst>
    </cacheField>
    <cacheField name="[Measures].[Součet PRCP]" caption="Součet PRCP" numFmtId="0" hierarchy="16" level="32767"/>
    <cacheField name="[Measures].[suma srazek v roce vs. max rok]" caption="suma srazek v roce vs. max rok" numFmtId="0" hierarchy="26" level="32767"/>
  </cacheFields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 oneField="1">
      <fieldsUsage count="1">
        <fieldUsage x="2"/>
      </fieldsUsage>
    </cacheHierarchy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2245367" createdVersion="5" refreshedVersion="7" minRefreshableVersion="3" recordCount="0" supportSubquery="1" supportAdvancedDrill="1" xr:uid="{2BA2FD38-5557-478E-BB2C-E7F1AE147B46}">
  <cacheSource type="external" connectionId="7"/>
  <cacheFields count="4">
    <cacheField name="[data].[Rok].[Rok]" caption="Rok" numFmtId="0" hierarchy="3" level="1">
      <sharedItems containsSemiMixedTypes="0" containsString="0" containsNumber="1" containsInteger="1" minValue="2006" maxValue="2020" count="15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6]"/>
            <x15:cachedUniqueName index="1" name="[data].[Rok].&amp;[2007]"/>
            <x15:cachedUniqueName index="2" name="[data].[Rok].&amp;[2008]"/>
            <x15:cachedUniqueName index="3" name="[data].[Rok].&amp;[2009]"/>
            <x15:cachedUniqueName index="4" name="[data].[Rok].&amp;[2010]"/>
            <x15:cachedUniqueName index="5" name="[data].[Rok].&amp;[2011]"/>
            <x15:cachedUniqueName index="6" name="[data].[Rok].&amp;[2012]"/>
            <x15:cachedUniqueName index="7" name="[data].[Rok].&amp;[2013]"/>
            <x15:cachedUniqueName index="8" name="[data].[Rok].&amp;[2014]"/>
            <x15:cachedUniqueName index="9" name="[data].[Rok].&amp;[2015]"/>
            <x15:cachedUniqueName index="10" name="[data].[Rok].&amp;[2016]"/>
            <x15:cachedUniqueName index="11" name="[data].[Rok].&amp;[2017]"/>
            <x15:cachedUniqueName index="12" name="[data].[Rok].&amp;[2018]"/>
            <x15:cachedUniqueName index="13" name="[data].[Rok].&amp;[2019]"/>
            <x15:cachedUniqueName index="14" name="[data].[Rok].&amp;[2020]"/>
          </x15:cachedUniqueNames>
        </ext>
      </extLst>
    </cacheField>
    <cacheField name="[Measures].[Součet PRCP]" caption="Součet PRCP" numFmtId="0" hierarchy="16" level="32767"/>
    <cacheField name="[data].[NAME].[NAME]" caption="NAME" numFmtId="0" level="1">
      <sharedItems containsSemiMixedTypes="0" containsNonDate="0" containsString="0"/>
    </cacheField>
    <cacheField name="[Measures].[srazky mezirocne]" caption="srazky mezirocne" numFmtId="0" hierarchy="22" level="32767"/>
  </cacheFields>
  <cacheHierarchies count="38">
    <cacheHierarchy uniqueName="[data].[NAME]" caption="NAME" attribute="1" defaultMemberUniqueName="[data].[NAME].[All]" allUniqueName="[data].[NAME].[All]" dimensionUniqueName="[data]" displayFolder="" count="2" memberValueDatatype="130" unbalanced="0">
      <fieldsUsage count="2">
        <fieldUsage x="-1"/>
        <fieldUsage x="2"/>
      </fieldsUsage>
    </cacheHierarchy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 oneField="1">
      <fieldsUsage count="1">
        <fieldUsage x="3"/>
      </fieldsUsage>
    </cacheHierarchy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35532409" createdVersion="3" refreshedVersion="7" minRefreshableVersion="3" recordCount="0" supportSubquery="1" supportAdvancedDrill="1" xr:uid="{53F0025E-0D66-4458-912D-730313F6B3CE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2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704670869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0740743" createdVersion="3" refreshedVersion="7" minRefreshableVersion="3" recordCount="0" supportSubquery="1" supportAdvancedDrill="1" xr:uid="{9C38805C-BE1F-44DE-975F-A75C093518C9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data].[NAME]" caption="NAME" attribute="1" defaultMemberUniqueName="[data].[NAME].[All]" allUniqueName="[data].[NAME].[All]" dimensionUniqueName="[data]" displayFolder="" count="2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24886836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7800925" createdVersion="3" refreshedVersion="7" minRefreshableVersion="3" recordCount="0" supportSubquery="1" supportAdvancedDrill="1" xr:uid="{E346B587-F8F4-47CD-9E4B-5E9495C01F6B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data].[NAME]" caption="NAME" attribute="1" defaultMemberUniqueName="[data].[NAME].[All]" allUniqueName="[data].[NAME].[All]" dimensionUniqueName="[data]" displayFolder="" count="2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2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805047688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36574071" createdVersion="5" refreshedVersion="7" minRefreshableVersion="3" recordCount="0" supportSubquery="1" supportAdvancedDrill="1" xr:uid="{CCFA59AF-50F8-419C-A0E8-6160F4C01965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].[Rok].[Rok]" caption="Rok" numFmtId="0" hierarchy="3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</x15:cachedUniqueNames>
        </ext>
      </extLst>
    </cacheField>
    <cacheField name="[funkce].[funkce].[funkce]" caption="funkce" numFmtId="0" hierarchy="14" level="1">
      <sharedItems containsSemiMixedTypes="0" containsNonDate="0" containsString="0"/>
    </cacheField>
    <cacheField name="[Measures].[funkce2]" caption="funkce2" numFmtId="0" hierarchy="31" level="32767"/>
  </cacheFields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2" memberValueDatatype="130" unbalanced="0">
      <fieldsUsage count="2">
        <fieldUsage x="-1"/>
        <fieldUsage x="1"/>
      </fieldsUsage>
    </cacheHierarchy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 oneField="1">
      <fieldsUsage count="1">
        <fieldUsage x="2"/>
      </fieldsUsage>
    </cacheHierarchy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40594408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4907408" createdVersion="5" refreshedVersion="7" minRefreshableVersion="3" recordCount="0" supportSubquery="1" supportAdvancedDrill="1" xr:uid="{345E30DD-9C6B-4D87-8A54-0FEBEABA3E83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].[Rok].[Rok]" caption="Rok" numFmtId="0" hierarchy="3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</x15:cachedUniqueNames>
        </ext>
      </extLst>
    </cacheField>
    <cacheField name="[Measures].[Min PRCP]" caption="Min PRCP" numFmtId="0" hierarchy="20" level="32767"/>
    <cacheField name="[Measures].[minimalni srazky napric roky]" caption="minimalni srazky napric roky" numFmtId="0" hierarchy="30" level="32767"/>
  </cacheFields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 oneField="1">
      <fieldsUsage count="1">
        <fieldUsage x="2"/>
      </fieldsUsage>
    </cacheHierarchy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139456028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5949077" createdVersion="5" refreshedVersion="7" minRefreshableVersion="3" recordCount="0" supportSubquery="1" supportAdvancedDrill="1" xr:uid="{96E04301-CE14-42E9-A6EC-537FEE1C5F7E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].[Rok].[Rok]" caption="Rok" numFmtId="0" hierarchy="3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</x15:cachedUniqueNames>
        </ext>
      </extLst>
    </cacheField>
    <cacheField name="[Measures].[Min PRCP]" caption="Min PRCP" numFmtId="0" hierarchy="20" level="32767"/>
    <cacheField name="[Measures].[Max PRCP]" caption="Max PRCP" numFmtId="0" hierarchy="21" level="32767"/>
  </cacheFields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7266309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7106478" createdVersion="5" refreshedVersion="7" minRefreshableVersion="3" recordCount="0" supportSubquery="1" supportAdvancedDrill="1" xr:uid="{5335C506-2009-4C9B-A90C-8150EB67AF64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].[Mesic].[Mesic]" caption="Mesic" numFmtId="0" hierarchy="4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a].[Mesic].&amp;[1]"/>
            <x15:cachedUniqueName index="1" name="[data].[Mesic].&amp;[2]"/>
            <x15:cachedUniqueName index="2" name="[data].[Mesic].&amp;[3]"/>
            <x15:cachedUniqueName index="3" name="[data].[Mesic].&amp;[4]"/>
            <x15:cachedUniqueName index="4" name="[data].[Mesic].&amp;[5]"/>
            <x15:cachedUniqueName index="5" name="[data].[Mesic].&amp;[6]"/>
            <x15:cachedUniqueName index="6" name="[data].[Mesic].&amp;[7]"/>
            <x15:cachedUniqueName index="7" name="[data].[Mesic].&amp;[8]"/>
            <x15:cachedUniqueName index="8" name="[data].[Mesic].&amp;[9]"/>
            <x15:cachedUniqueName index="9" name="[data].[Mesic].&amp;[10]"/>
            <x15:cachedUniqueName index="10" name="[data].[Mesic].&amp;[11]"/>
            <x15:cachedUniqueName index="11" name="[data].[Mesic].&amp;[12]"/>
          </x15:cachedUniqueNames>
        </ext>
      </extLst>
    </cacheField>
    <cacheField name="[Measures].[Průměr PRCP]" caption="Průměr PRCP" numFmtId="0" hierarchy="19" level="32767"/>
    <cacheField name="[Measures].[prumer dennich srazek max rok]" caption="prumer dennich srazek max rok" numFmtId="0" hierarchy="29" level="32767"/>
  </cacheFields>
  <cacheHierarchies count="38"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2" memberValueDatatype="20" unbalanced="0">
      <fieldsUsage count="2">
        <fieldUsage x="-1"/>
        <fieldUsage x="0"/>
      </fieldsUsage>
    </cacheHierarchy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 oneField="1">
      <fieldsUsage count="1">
        <fieldUsage x="2"/>
      </fieldsUsage>
    </cacheHierarchy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61691345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4861111" createdVersion="5" refreshedVersion="7" minRefreshableVersion="3" recordCount="0" supportSubquery="1" supportAdvancedDrill="1" xr:uid="{13138DE0-FCD7-4EF1-8536-9510860B9267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ata].[Mesic].[Mesic]" caption="Mesic" numFmtId="0" hierarchy="4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a].[Mesic].&amp;[1]"/>
            <x15:cachedUniqueName index="1" name="[data].[Mesic].&amp;[2]"/>
            <x15:cachedUniqueName index="2" name="[data].[Mesic].&amp;[3]"/>
            <x15:cachedUniqueName index="3" name="[data].[Mesic].&amp;[4]"/>
            <x15:cachedUniqueName index="4" name="[data].[Mesic].&amp;[5]"/>
            <x15:cachedUniqueName index="5" name="[data].[Mesic].&amp;[6]"/>
            <x15:cachedUniqueName index="6" name="[data].[Mesic].&amp;[7]"/>
            <x15:cachedUniqueName index="7" name="[data].[Mesic].&amp;[8]"/>
            <x15:cachedUniqueName index="8" name="[data].[Mesic].&amp;[9]"/>
            <x15:cachedUniqueName index="9" name="[data].[Mesic].&amp;[10]"/>
            <x15:cachedUniqueName index="10" name="[data].[Mesic].&amp;[11]"/>
            <x15:cachedUniqueName index="11" name="[data].[Mesic].&amp;[12]"/>
          </x15:cachedUniqueNames>
        </ext>
      </extLst>
    </cacheField>
    <cacheField name="[data].[NAME].[NAME]" caption="NAME" numFmtId="0" level="1">
      <sharedItems containsSemiMixedTypes="0" containsNonDate="0" containsString="0"/>
    </cacheField>
    <cacheField name="[data].[Rok].[Rok]" caption="Rok" numFmtId="0" hierarchy="3" level="1">
      <sharedItems containsSemiMixedTypes="0" containsNonDate="0" containsString="0"/>
    </cacheField>
    <cacheField name="[Measures].[Součet PRCP]" caption="Součet PRCP" numFmtId="0" hierarchy="16" level="32767"/>
  </cacheFields>
  <cacheHierarchies count="38">
    <cacheHierarchy uniqueName="[data].[NAME]" caption="NAME" attribute="1" defaultMemberUniqueName="[data].[NAME].[All]" allUniqueName="[data].[NAME].[All]" dimensionUniqueName="[data]" displayFolder="" count="2" memberValueDatatype="130" unbalanced="0">
      <fieldsUsage count="2">
        <fieldUsage x="-1"/>
        <fieldUsage x="1"/>
      </fieldsUsage>
    </cacheHierarchy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2"/>
      </fieldsUsage>
    </cacheHierarchy>
    <cacheHierarchy uniqueName="[data].[Mesic]" caption="Mesic" attribute="1" defaultMemberUniqueName="[data].[Mesic].[All]" allUniqueName="[data].[Mesic].[All]" dimensionUniqueName="[data]" displayFolder="" count="2" memberValueDatatype="20" unbalanced="0">
      <fieldsUsage count="2">
        <fieldUsage x="-1"/>
        <fieldUsage x="0"/>
      </fieldsUsage>
    </cacheHierarchy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98032833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50462965" createdVersion="7" refreshedVersion="7" minRefreshableVersion="3" recordCount="0" supportSubquery="1" supportAdvancedDrill="1" xr:uid="{D65E0EF5-4D59-465E-B7DD-FE337FC54672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data].[Rok].[Rok]" caption="Rok" numFmtId="0" hierarchy="3" level="1">
      <sharedItems containsSemiMixedTypes="0" containsString="0" containsNumber="1" containsInteger="1" minValue="2000" maxValue="2020" count="21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</x15:cachedUniqueNames>
        </ext>
      </extLst>
    </cacheField>
    <cacheField name="[Measures].[Součet PRCP]" caption="Součet PRCP" numFmtId="0" hierarchy="16" level="32767"/>
    <cacheField name="[pocet let zpet].[pocet let zpet].[pocet let zpet]" caption="pocet let zpet" numFmtId="0" hierarchy="15" level="1">
      <sharedItems containsSemiMixedTypes="0" containsNonDate="0" containsString="0"/>
    </cacheField>
    <cacheField name="[data].[NAME].[NAME]" caption="NAME" numFmtId="0" level="1">
      <sharedItems containsSemiMixedTypes="0" containsNonDate="0" containsString="0"/>
    </cacheField>
    <cacheField name="[Measures].[srazky minule obdobi]" caption="srazky minule obdobi" numFmtId="0" hierarchy="24" level="32767"/>
  </cacheFields>
  <cacheHierarchies count="38">
    <cacheHierarchy uniqueName="[data].[NAME]" caption="NAME" attribute="1" defaultMemberUniqueName="[data].[NAME].[All]" allUniqueName="[data].[NAME].[All]" dimensionUniqueName="[data]" displayFolder="" count="2" memberValueDatatype="130" unbalanced="0">
      <fieldsUsage count="2">
        <fieldUsage x="-1"/>
        <fieldUsage x="3"/>
      </fieldsUsage>
    </cacheHierarchy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2" memberValueDatatype="20" unbalanced="0">
      <fieldsUsage count="2">
        <fieldUsage x="-1"/>
        <fieldUsage x="2"/>
      </fieldsUsage>
    </cacheHierarchy>
    <cacheHierarchy uniqueName="[Measures].[Součet PRCP]" caption="Součet PRCP" measure="1" displayFolder="" measureGroup="data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/>
    <cacheHierarchy uniqueName="[Measures].[srazky minule obdobi]" caption="srazky minule obdobi" measure="1" displayFolder="" measureGroup="data" count="0" oneField="1">
      <fieldsUsage count="1">
        <fieldUsage x="4"/>
      </fieldsUsage>
    </cacheHierarchy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12985714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udent" refreshedDate="44477.674852199074" createdVersion="7" refreshedVersion="7" minRefreshableVersion="3" recordCount="0" supportSubquery="1" supportAdvancedDrill="1" xr:uid="{BCE45F95-FBC1-4A43-BFD5-F96E8BEAA907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ata].[NAME].[NAME]" caption="NAME" numFmtId="0" level="1">
      <sharedItems containsSemiMixedTypes="0" containsNonDate="0" containsString="0"/>
    </cacheField>
    <cacheField name="[data].[Rok].[Rok]" caption="Rok" numFmtId="0" hierarchy="3" level="1">
      <sharedItems containsSemiMixedTypes="0" containsNonDate="0" containsString="0"/>
    </cacheField>
    <cacheField name="[data].[Mesic].[Mesic]" caption="Mesic" numFmtId="0" hierarchy="4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ata].[Mesic].&amp;[1]"/>
            <x15:cachedUniqueName index="1" name="[data].[Mesic].&amp;[2]"/>
            <x15:cachedUniqueName index="2" name="[data].[Mesic].&amp;[3]"/>
            <x15:cachedUniqueName index="3" name="[data].[Mesic].&amp;[4]"/>
            <x15:cachedUniqueName index="4" name="[data].[Mesic].&amp;[5]"/>
            <x15:cachedUniqueName index="5" name="[data].[Mesic].&amp;[6]"/>
            <x15:cachedUniqueName index="6" name="[data].[Mesic].&amp;[7]"/>
            <x15:cachedUniqueName index="7" name="[data].[Mesic].&amp;[8]"/>
            <x15:cachedUniqueName index="8" name="[data].[Mesic].&amp;[9]"/>
            <x15:cachedUniqueName index="9" name="[data].[Mesic].&amp;[10]"/>
            <x15:cachedUniqueName index="10" name="[data].[Mesic].&amp;[11]"/>
            <x15:cachedUniqueName index="11" name="[data].[Mesic].&amp;[12]"/>
          </x15:cachedUniqueNames>
        </ext>
      </extLst>
    </cacheField>
    <cacheField name="[Measures].[srazky kumulativne]" caption="srazky kumulativne" numFmtId="0" hierarchy="23" level="32767"/>
  </cacheFields>
  <cacheHierarchies count="38">
    <cacheHierarchy uniqueName="[data].[NAME]" caption="NAME" attribute="1" defaultMemberUniqueName="[data].[NAME].[All]" allUniqueName="[data].[NAME].[All]" dimensionUniqueName="[data]" displayFolder="" count="2" memberValueDatatype="130" unbalanced="0">
      <fieldsUsage count="2">
        <fieldUsage x="-1"/>
        <fieldUsage x="0"/>
      </fieldsUsage>
    </cacheHierarchy>
    <cacheHierarchy uniqueName="[data].[DATE]" caption="DATE" attribute="1" time="1" defaultMemberUniqueName="[data].[DATE].[All]" allUniqueName="[data].[DATE].[All]" dimensionUniqueName="[data]" displayFolder="" count="0" memberValueDatatype="7" unbalanced="0"/>
    <cacheHierarchy uniqueName="[data].[PRCP]" caption="PRCP" attribute="1" defaultMemberUniqueName="[data].[PRCP].[All]" allUniqueName="[data].[PRCP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1"/>
      </fieldsUsage>
    </cacheHierarchy>
    <cacheHierarchy uniqueName="[data].[Mesic]" caption="Mesic" attribute="1" defaultMemberUniqueName="[data].[Mesic].[All]" allUniqueName="[data].[Mesic].[All]" dimensionUniqueName="[data]" displayFolder="" count="2" memberValueDatatype="20" unbalanced="0">
      <fieldsUsage count="2">
        <fieldUsage x="-1"/>
        <fieldUsage x="2"/>
      </fieldsUsage>
    </cacheHierarchy>
    <cacheHierarchy uniqueName="[dim name].[NAME]" caption="NAME" attribute="1" defaultMemberUniqueName="[dim name].[NAME].[All]" allUniqueName="[dim name].[NAME].[All]" dimensionUniqueName="[dim name]" displayFolder="" count="0" memberValueDatatype="130" unbalanced="0"/>
    <cacheHierarchy uniqueName="[dim roky].[Rok]" caption="Rok" attribute="1" defaultMemberUniqueName="[dim roky].[Rok].[All]" allUniqueName="[dim roky].[Rok].[All]" dimensionUniqueName="[dim roky]" displayFolder="" count="0" memberValueDatatype="20" unbalanced="0"/>
    <cacheHierarchy uniqueName="[dim roky].[Suma srazek]" caption="Suma srazek" attribute="1" defaultMemberUniqueName="[dim roky].[Suma srazek].[All]" allUniqueName="[dim roky].[Suma srazek].[All]" dimensionUniqueName="[dim roky]" displayFolder="" count="0" memberValueDatatype="5" unbalanced="0"/>
    <cacheHierarchy uniqueName="[dim roky].[Suma srazek v predchozim roce]" caption="Suma srazek v predchozim roce" attribute="1" defaultMemberUniqueName="[dim roky].[Suma srazek v predchozim roce].[All]" allUniqueName="[dim roky].[Suma srazek v predchozim roce].[All]" dimensionUniqueName="[dim roky]" displayFolder="" count="0" memberValueDatatype="5" unbalanced="0"/>
    <cacheHierarchy uniqueName="[dim roky].[Mezirocni zmena]" caption="Mezirocni zmena" attribute="1" defaultMemberUniqueName="[dim roky].[Mezirocni zmena].[All]" allUniqueName="[dim roky].[Mezirocni zmena].[All]" dimensionUniqueName="[dim roky]" displayFolder="" count="0" memberValueDatatype="130" unbalanced="0"/>
    <cacheHierarchy uniqueName="[dim roky].[Maximalni srazky v roce]" caption="Maximalni srazky v roce" attribute="1" defaultMemberUniqueName="[dim roky].[Maximalni srazky v roce].[All]" allUniqueName="[dim roky].[Maximalni srazky v roce].[All]" dimensionUniqueName="[dim roky]" displayFolder="" count="0" memberValueDatatype="5" unbalanced="0"/>
    <cacheHierarchy uniqueName="[dim roky].[Name s max srazkami]" caption="Name s max srazkami" attribute="1" defaultMemberUniqueName="[dim roky].[Name s max srazkami].[All]" allUniqueName="[dim roky].[Name s max srazkami].[All]" dimensionUniqueName="[dim roky]" displayFolder="" count="0" memberValueDatatype="130" unbalanced="0"/>
    <cacheHierarchy uniqueName="[dim roky].[posledni datum max srazek]" caption="posledni datum max srazek" attribute="1" time="1" defaultMemberUniqueName="[dim roky].[posledni datum max srazek].[All]" allUniqueName="[dim roky].[posledni datum max srazek].[All]" dimensionUniqueName="[dim roky]" displayFolder="" count="0" memberValueDatatype="7" unbalanced="0"/>
    <cacheHierarchy uniqueName="[funkce].[index]" caption="index" attribute="1" defaultMemberUniqueName="[funkce].[index].[All]" allUniqueName="[funkce].[index].[All]" dimensionUniqueName="[funkce]" displayFolder="" count="0" memberValueDatatype="20" unbalanced="0"/>
    <cacheHierarchy uniqueName="[funkce].[funkce]" caption="funkce" attribute="1" defaultMemberUniqueName="[funkce].[funkce].[All]" allUniqueName="[funkce].[funkce].[All]" dimensionUniqueName="[funkce]" displayFolder="" count="0" memberValueDatatype="130" unbalanced="0"/>
    <cacheHierarchy uniqueName="[pocet let zpet].[pocet let zpet]" caption="pocet let zpet" attribute="1" defaultMemberUniqueName="[pocet let zpet].[pocet let zpet].[All]" allUniqueName="[pocet let zpet].[pocet let zpet].[All]" dimensionUniqueName="[pocet let zpet]" displayFolder="" count="0" memberValueDatatype="20" unbalanced="0"/>
    <cacheHierarchy uniqueName="[Measures].[Součet PRCP]" caption="Součet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učet Rok]" caption="Sou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očet Rok]" caption="Počet Rok" measure="1" displayFolder="" measureGroup="dim roky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Průměr PRCP]" caption="Průměr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PRCP]" caption="Min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PRCP]" caption="Max PRCP" measure="1" displayFolder="" measureGroup="data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razky mezirocne]" caption="srazky mezirocne" measure="1" displayFolder="" measureGroup="data" count="0"/>
    <cacheHierarchy uniqueName="[Measures].[srazky kumulativne]" caption="srazky kumulativne" measure="1" displayFolder="" measureGroup="data" count="0" oneField="1">
      <fieldsUsage count="1">
        <fieldUsage x="3"/>
      </fieldsUsage>
    </cacheHierarchy>
    <cacheHierarchy uniqueName="[Measures].[srazky minule obdobi]" caption="srazky minule obdobi" measure="1" displayFolder="" measureGroup="data" count="0"/>
    <cacheHierarchy uniqueName="[Measures].[min_srazky]" caption="min_srazky" measure="1" displayFolder="" measureGroup="data" count="0"/>
    <cacheHierarchy uniqueName="[Measures].[suma srazek v roce vs. max rok]" caption="suma srazek v roce vs. max rok" measure="1" displayFolder="" measureGroup="data" count="0"/>
    <cacheHierarchy uniqueName="[Measures].[suma srazek mosnov]" caption="suma srazek mosnov" measure="1" displayFolder="" measureGroup="data" count="0"/>
    <cacheHierarchy uniqueName="[Measures].[rok max srazek]" caption="rok max srazek" measure="1" displayFolder="" measureGroup="dim roky" count="0"/>
    <cacheHierarchy uniqueName="[Measures].[prumer dennich srazek max rok]" caption="prumer dennich srazek max rok" measure="1" displayFolder="" measureGroup="data" count="0"/>
    <cacheHierarchy uniqueName="[Measures].[minimalni srazky napric roky]" caption="minimalni srazky napric roky" measure="1" displayFolder="" measureGroup="data" count="0"/>
    <cacheHierarchy uniqueName="[Measures].[funkce2]" caption="funkce2" measure="1" displayFolder="" measureGroup="data" count="0"/>
    <cacheHierarchy uniqueName="[Measures].[__XL_Count data]" caption="__XL_Count data" measure="1" displayFolder="" measureGroup="data" count="0" hidden="1"/>
    <cacheHierarchy uniqueName="[Measures].[__XL_Count pocet let zpet]" caption="__XL_Count pocet let zpet" measure="1" displayFolder="" measureGroup="pocet let zpet" count="0" hidden="1"/>
    <cacheHierarchy uniqueName="[Measures].[__XL_Count dim roky]" caption="__XL_Count dim roky" measure="1" displayFolder="" measureGroup="dim roky" count="0" hidden="1"/>
    <cacheHierarchy uniqueName="[Measures].[__XL_Count dim name]" caption="__XL_Count dim name" measure="1" displayFolder="" measureGroup="dim name" count="0" hidden="1"/>
    <cacheHierarchy uniqueName="[Measures].[__XL_Count funkce]" caption="__XL_Count funkce" measure="1" displayFolder="" measureGroup="funkce" count="0" hidden="1"/>
    <cacheHierarchy uniqueName="[Measures].[__No measures defined]" caption="__No measures defined" measure="1" displayFolder="" count="0" hidden="1"/>
  </cacheHierarchies>
  <kpis count="0"/>
  <dimensions count="6">
    <dimension name="data" uniqueName="[data]" caption="data"/>
    <dimension name="dim name" uniqueName="[dim name]" caption="dim name"/>
    <dimension name="dim roky" uniqueName="[dim roky]" caption="dim roky"/>
    <dimension name="funkce" uniqueName="[funkce]" caption="funkce"/>
    <dimension measure="1" name="Measures" uniqueName="[Measures]" caption="Measures"/>
    <dimension name="pocet let zpet" uniqueName="[pocet let zpet]" caption="pocet let zpet"/>
  </dimensions>
  <measureGroups count="5">
    <measureGroup name="data" caption="data"/>
    <measureGroup name="dim name" caption="dim name"/>
    <measureGroup name="dim roky" caption="dim roky"/>
    <measureGroup name="funkce" caption="funkce"/>
    <measureGroup name="pocet let zpet" caption="pocet let zpet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pivotCacheId="5827273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62392-3954-4124-B975-E026C60CBB11}" name="PivotChartTable7" cacheId="492" applyNumberFormats="0" applyBorderFormats="0" applyFontFormats="0" applyPatternFormats="0" applyAlignmentFormats="0" applyWidthHeightFormats="1" dataCaption="Hodnoty" updatedVersion="7" minRefreshableVersion="3" useAutoFormatting="1" itemPrintTitles="1" createdVersion="5" indent="0" outline="1" outlineData="1" multipleFieldFilters="0" chartFormat="1">
  <location ref="A1:B23" firstHeaderRow="1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2" columnCount="1" cacheId="405944088">
        <x15:pivotRow count="1">
          <x15:c>
            <x15:v>40</x15:v>
          </x15:c>
        </x15:pivotRow>
        <x15:pivotRow count="1">
          <x15:c>
            <x15:v>41.1</x15:v>
          </x15:c>
        </x15:pivotRow>
        <x15:pivotRow count="1">
          <x15:c>
            <x15:v>101.5</x15:v>
          </x15:c>
        </x15:pivotRow>
        <x15:pivotRow count="1">
          <x15:c>
            <x15:v>77.099999999999994</x15:v>
          </x15:c>
        </x15:pivotRow>
        <x15:pivotRow count="1">
          <x15:c>
            <x15:v>66.2</x15:v>
          </x15:c>
        </x15:pivotRow>
        <x15:pivotRow count="1">
          <x15:c>
            <x15:v>70.099999999999994</x15:v>
          </x15:c>
        </x15:pivotRow>
        <x15:pivotRow count="1">
          <x15:c>
            <x15:v>76.5</x15:v>
          </x15:c>
        </x15:pivotRow>
        <x15:pivotRow count="1">
          <x15:c>
            <x15:v>77</x15:v>
          </x15:c>
        </x15:pivotRow>
        <x15:pivotRow count="1">
          <x15:c>
            <x15:v>85</x15:v>
          </x15:c>
        </x15:pivotRow>
        <x15:pivotRow count="1">
          <x15:c>
            <x15:v>67.5</x15:v>
          </x15:c>
        </x15:pivotRow>
        <x15:pivotRow count="1">
          <x15:c>
            <x15:v>69.099999999999994</x15:v>
          </x15:c>
        </x15:pivotRow>
        <x15:pivotRow count="1">
          <x15:c>
            <x15:v>68.3</x15:v>
          </x15:c>
        </x15:pivotRow>
        <x15:pivotRow count="1">
          <x15:c>
            <x15:v>55.1</x15:v>
          </x15:c>
        </x15:pivotRow>
        <x15:pivotRow count="1">
          <x15:c>
            <x15:v>126</x15:v>
          </x15:c>
        </x15:pivotRow>
        <x15:pivotRow count="1">
          <x15:c>
            <x15:v>63</x15:v>
          </x15:c>
        </x15:pivotRow>
        <x15:pivotRow count="1">
          <x15:c>
            <x15:v>113</x15:v>
          </x15:c>
        </x15:pivotRow>
        <x15:pivotRow count="1">
          <x15:c>
            <x15:v>124</x15:v>
          </x15:c>
        </x15:pivotRow>
        <x15:pivotRow count="1">
          <x15:c>
            <x15:v>98</x15:v>
          </x15:c>
        </x15:pivotRow>
        <x15:pivotRow count="1">
          <x15:c>
            <x15:v>86.1</x15:v>
          </x15:c>
        </x15:pivotRow>
        <x15:pivotRow count="1">
          <x15:c>
            <x15:v>140</x15:v>
          </x15:c>
        </x15:pivotRow>
        <x15:pivotRow count="1">
          <x15:c>
            <x15:v>99.4</x15:v>
          </x15:c>
        </x15:pivotRow>
        <x15:pivotRow count="1">
          <x15:c>
            <x15:v>140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  <x15:activeTabTopLevelEntity name="[funk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6E8CD-28EF-400A-B27E-741FDC9E8609}" name="PivotChartTable6" cacheId="506" applyNumberFormats="0" applyBorderFormats="0" applyFontFormats="0" applyPatternFormats="0" applyAlignmentFormats="0" applyWidthHeightFormats="1" dataCaption="Hodnoty" updatedVersion="7" minRefreshableVersion="3" useAutoFormatting="1" itemPrintTitles="1" createdVersion="5" indent="0" outline="1" outlineData="1" multipleFieldFilters="0" chartFormat="3">
  <location ref="A1:C23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Min PRCP" fld="1" subtotal="min" baseField="0" baseItem="0"/>
    <dataField fld="2" subtotal="count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PRCP"/>
    <pivotHierarchy dragToData="1" caption="Max PRC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22" columnCount="2" cacheId="1394560288"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  <x15:pivotRow count="2">
          <x15:c>
            <x15:v>0</x15:v>
            <x15:x in="0"/>
          </x15:c>
          <x15:c>
            <x15:v>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6E8CD-28EF-400A-B27E-741FDC9E8609}" name="PivotChartTable5" cacheId="509" applyNumberFormats="0" applyBorderFormats="0" applyFontFormats="0" applyPatternFormats="0" applyAlignmentFormats="0" applyWidthHeightFormats="1" dataCaption="Hodnoty" updatedVersion="7" minRefreshableVersion="3" useAutoFormatting="1" itemPrintTitles="1" createdVersion="5" indent="0" outline="1" outlineData="1" multipleFieldFilters="0" chartFormat="1">
  <location ref="A1:C23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Min PRCP" fld="1" subtotal="min" baseField="0" baseItem="0"/>
    <dataField name="Max PRCP" fld="2" subtotal="max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PRCP"/>
    <pivotHierarchy dragToData="1" caption="Max PRCP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22" columnCount="2" cacheId="726630993">
        <x15:pivotRow count="2">
          <x15:c>
            <x15:v>0</x15:v>
            <x15:x in="0"/>
          </x15:c>
          <x15:c>
            <x15:v>40</x15:v>
            <x15:x in="0"/>
          </x15:c>
        </x15:pivotRow>
        <x15:pivotRow count="2">
          <x15:c>
            <x15:v>0</x15:v>
            <x15:x in="0"/>
          </x15:c>
          <x15:c>
            <x15:v>41.1</x15:v>
            <x15:x in="0"/>
          </x15:c>
        </x15:pivotRow>
        <x15:pivotRow count="2">
          <x15:c>
            <x15:v>0</x15:v>
            <x15:x in="0"/>
          </x15:c>
          <x15:c>
            <x15:v>101.5</x15:v>
            <x15:x in="0"/>
          </x15:c>
        </x15:pivotRow>
        <x15:pivotRow count="2">
          <x15:c>
            <x15:v>0</x15:v>
            <x15:x in="0"/>
          </x15:c>
          <x15:c>
            <x15:v>77.099999999999994</x15:v>
            <x15:x in="0"/>
          </x15:c>
        </x15:pivotRow>
        <x15:pivotRow count="2">
          <x15:c>
            <x15:v>0</x15:v>
            <x15:x in="0"/>
          </x15:c>
          <x15:c>
            <x15:v>66.2</x15:v>
            <x15:x in="0"/>
          </x15:c>
        </x15:pivotRow>
        <x15:pivotRow count="2">
          <x15:c>
            <x15:v>0</x15:v>
            <x15:x in="0"/>
          </x15:c>
          <x15:c>
            <x15:v>70.099999999999994</x15:v>
            <x15:x in="0"/>
          </x15:c>
        </x15:pivotRow>
        <x15:pivotRow count="2">
          <x15:c>
            <x15:v>0</x15:v>
            <x15:x in="0"/>
          </x15:c>
          <x15:c>
            <x15:v>76.5</x15:v>
            <x15:x in="0"/>
          </x15:c>
        </x15:pivotRow>
        <x15:pivotRow count="2">
          <x15:c>
            <x15:v>0</x15:v>
            <x15:x in="0"/>
          </x15:c>
          <x15:c>
            <x15:v>77</x15:v>
            <x15:x in="0"/>
          </x15:c>
        </x15:pivotRow>
        <x15:pivotRow count="2">
          <x15:c>
            <x15:v>0</x15:v>
            <x15:x in="0"/>
          </x15:c>
          <x15:c>
            <x15:v>85</x15:v>
            <x15:x in="0"/>
          </x15:c>
        </x15:pivotRow>
        <x15:pivotRow count="2">
          <x15:c>
            <x15:v>0</x15:v>
            <x15:x in="0"/>
          </x15:c>
          <x15:c>
            <x15:v>67.5</x15:v>
            <x15:x in="0"/>
          </x15:c>
        </x15:pivotRow>
        <x15:pivotRow count="2">
          <x15:c>
            <x15:v>0</x15:v>
            <x15:x in="0"/>
          </x15:c>
          <x15:c>
            <x15:v>69.099999999999994</x15:v>
            <x15:x in="0"/>
          </x15:c>
        </x15:pivotRow>
        <x15:pivotRow count="2">
          <x15:c>
            <x15:v>0</x15:v>
            <x15:x in="0"/>
          </x15:c>
          <x15:c>
            <x15:v>68.3</x15:v>
            <x15:x in="0"/>
          </x15:c>
        </x15:pivotRow>
        <x15:pivotRow count="2">
          <x15:c>
            <x15:v>0</x15:v>
            <x15:x in="0"/>
          </x15:c>
          <x15:c>
            <x15:v>55.1</x15:v>
            <x15:x in="0"/>
          </x15:c>
        </x15:pivotRow>
        <x15:pivotRow count="2">
          <x15:c>
            <x15:v>0</x15:v>
            <x15:x in="0"/>
          </x15:c>
          <x15:c>
            <x15:v>126</x15:v>
            <x15:x in="0"/>
          </x15:c>
        </x15:pivotRow>
        <x15:pivotRow count="2">
          <x15:c>
            <x15:v>0</x15:v>
            <x15:x in="0"/>
          </x15:c>
          <x15:c>
            <x15:v>63</x15:v>
            <x15:x in="0"/>
          </x15:c>
        </x15:pivotRow>
        <x15:pivotRow count="2">
          <x15:c>
            <x15:v>0</x15:v>
            <x15:x in="0"/>
          </x15:c>
          <x15:c>
            <x15:v>113</x15:v>
            <x15:x in="0"/>
          </x15:c>
        </x15:pivotRow>
        <x15:pivotRow count="2">
          <x15:c>
            <x15:v>0</x15:v>
            <x15:x in="0"/>
          </x15:c>
          <x15:c>
            <x15:v>124</x15:v>
            <x15:x in="0"/>
          </x15:c>
        </x15:pivotRow>
        <x15:pivotRow count="2">
          <x15:c>
            <x15:v>0</x15:v>
            <x15:x in="0"/>
          </x15:c>
          <x15:c>
            <x15:v>98</x15:v>
            <x15:x in="0"/>
          </x15:c>
        </x15:pivotRow>
        <x15:pivotRow count="2">
          <x15:c>
            <x15:v>0</x15:v>
            <x15:x in="0"/>
          </x15:c>
          <x15:c>
            <x15:v>86.1</x15:v>
            <x15:x in="0"/>
          </x15:c>
        </x15:pivotRow>
        <x15:pivotRow count="2">
          <x15:c>
            <x15:v>0</x15:v>
            <x15:x in="0"/>
          </x15:c>
          <x15:c>
            <x15:v>140</x15:v>
            <x15:x in="0"/>
          </x15:c>
        </x15:pivotRow>
        <x15:pivotRow count="2">
          <x15:c>
            <x15:v>0</x15:v>
            <x15:x in="0"/>
          </x15:c>
          <x15:c>
            <x15:v>99.4</x15:v>
            <x15:x in="0"/>
          </x15:c>
        </x15:pivotRow>
        <x15:pivotRow count="2">
          <x15:c>
            <x15:v>0</x15:v>
            <x15:x in="0"/>
          </x15:c>
          <x15:c>
            <x15:v>140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BB275-AC9B-4365-977C-B6A69542879F}" name="PivotChartTable4" cacheId="512" applyNumberFormats="0" applyBorderFormats="0" applyFontFormats="0" applyPatternFormats="0" applyAlignmentFormats="0" applyWidthHeightFormats="1" dataCaption="Hodnoty" updatedVersion="7" minRefreshableVersion="3" useAutoFormatting="1" itemPrintTitles="1" createdVersion="5" indent="0" outline="1" outlineData="1" multipleFieldFilters="0" chartFormat="1">
  <location ref="A1:C14" firstHeaderRow="0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Průměr PRCP" fld="1" subtotal="average" baseField="0" baseItem="2"/>
    <dataField fld="2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ůměr PRCP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13" columnCount="2" cacheId="616913451">
        <x15:pivotRow count="2">
          <x15:c>
            <x15:v>2.0913512413512469</x15:v>
            <x15:x in="0"/>
          </x15:c>
          <x15:c>
            <x15:v>9.0930875576036865</x15:v>
            <x15:x in="0"/>
          </x15:c>
        </x15:pivotRow>
        <x15:pivotRow count="2">
          <x15:c>
            <x15:v>1.5799820466786347</x15:v>
            <x15:x in="0"/>
          </x15:c>
          <x15:c>
            <x15:v>6.5612359550561798</x15:v>
            <x15:x in="0"/>
          </x15:c>
        </x15:pivotRow>
        <x15:pivotRow count="2">
          <x15:c>
            <x15:v>1.5885300901656532</x15:v>
            <x15:x in="0"/>
          </x15:c>
          <x15:c>
            <x15:v>2.1074257425742569</x15:v>
            <x15:x in="0"/>
          </x15:c>
        </x15:pivotRow>
        <x15:pivotRow count="2">
          <x15:c>
            <x15:v>1.6067017082785828</x15:v>
            <x15:x in="0"/>
          </x15:c>
          <x15:c>
            <x15:v>3.7856459330143553</x15:v>
            <x15:x in="0"/>
          </x15:c>
        </x15:pivotRow>
        <x15:pivotRow count="2">
          <x15:c>
            <x15:v>3.2368111831442468</x15:v>
            <x15:x in="0"/>
          </x15:c>
          <x15:c>
            <x15:v>2.5836448598130852</x15:v>
            <x15:x in="0"/>
          </x15:c>
        </x15:pivotRow>
        <x15:pivotRow count="2">
          <x15:c>
            <x15:v>3.7091252359974813</x15:v>
            <x15:x in="0"/>
          </x15:c>
          <x15:c>
            <x15:v>3.9249999999999998</x15:v>
            <x15:x in="0"/>
          </x15:c>
        </x15:pivotRow>
        <x15:pivotRow count="2">
          <x15:c>
            <x15:v>3.3841910251132199</x15:v>
            <x15:x in="0"/>
          </x15:c>
          <x15:c>
            <x15:v>4.5924778761061953</x15:v>
            <x15:x in="0"/>
          </x15:c>
        </x15:pivotRow>
        <x15:pivotRow count="2">
          <x15:c>
            <x15:v>3.4465086754126126</x15:v>
            <x15:x in="0"/>
          </x15:c>
          <x15:c>
            <x15:v>4.0287081339712927</x15:v>
            <x15:x in="0"/>
          </x15:c>
        </x15:pivotRow>
        <x15:pivotRow count="2">
          <x15:c>
            <x15:v>2.7738352027609952</x15:v>
            <x15:x in="0"/>
          </x15:c>
          <x15:c>
            <x15:v>4.6545871559633021</x15:v>
            <x15:x in="0"/>
          </x15:c>
        </x15:pivotRow>
        <x15:pivotRow count="2">
          <x15:c>
            <x15:v>2.0006718454755412</x15:v>
            <x15:x in="0"/>
          </x15:c>
          <x15:c>
            <x15:v>2.2323671497584541</x15:v>
            <x15:x in="0"/>
          </x15:c>
        </x15:pivotRow>
        <x15:pivotRow count="2">
          <x15:c>
            <x15:v>1.5999328859060415</x15:v>
            <x15:x in="0"/>
          </x15:c>
          <x15:c>
            <x15:v>2.0005050505050508</x15:v>
            <x15:x in="0"/>
          </x15:c>
        </x15:pivotRow>
        <x15:pivotRow count="2">
          <x15:c>
            <x15:v>1.4800735612289073</x15:v>
            <x15:x in="0"/>
          </x15:c>
          <x15:c>
            <x15:v>2.0810810810810811</x15:v>
            <x15:x in="0"/>
          </x15:c>
        </x15:pivotRow>
        <x15:pivotRow count="2">
          <x15:c>
            <x15:v>2.3900536444593934</x15:v>
            <x15:x in="0"/>
          </x15:c>
          <x15:c>
            <x15:v>3.9924604783137405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01D32-11CD-4826-80EC-8331496D7C7D}" name="PivotChartTable1" cacheId="516" applyNumberFormats="0" applyBorderFormats="0" applyFontFormats="0" applyPatternFormats="0" applyAlignmentFormats="0" applyWidthHeightFormats="1" dataCaption="Hodnoty" updatedVersion="7" minRefreshableVersion="3" useAutoFormatting="1" subtotalHiddenItems="1" itemPrintTitles="1" createdVersion="5" indent="0" outline="1" outlineData="1" multipleFieldFilters="0" chartFormat="1">
  <location ref="A1:B14" firstHeaderRow="1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učet PRCP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multipleItemSelectionAllowed="1" dragToData="1">
      <members count="1" level="1">
        <member name="[data].[NAME].&amp;[TURANY]"/>
      </members>
    </pivotHierarchy>
    <pivotHierarchy dragToData="1"/>
    <pivotHierarchy dragToData="1"/>
    <pivotHierarchy multipleItemSelectionAllowed="1" dragToData="1">
      <members count="1" level="1">
        <member name="[data].[Rok].&amp;[20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980328336">
        <x15:pivotRow count="1">
          <x15:c>
            <x15:v>26.1</x15:v>
          </x15:c>
        </x15:pivotRow>
        <x15:pivotRow count="1">
          <x15:c>
            <x15:v>4.0999999999999996</x15:v>
          </x15:c>
        </x15:pivotRow>
        <x15:pivotRow count="1">
          <x15:c>
            <x15:v>4.4000000000000004</x15:v>
          </x15:c>
        </x15:pivotRow>
        <x15:pivotRow count="1">
          <x15:c>
            <x15:v>19.100000000000001</x15:v>
          </x15:c>
        </x15:pivotRow>
        <x15:pivotRow count="1">
          <x15:c>
            <x15:v>95.999999999999986</x15:v>
          </x15:c>
        </x15:pivotRow>
        <x15:pivotRow count="1">
          <x15:c>
            <x15:v>60.100000000000009</x15:v>
          </x15:c>
        </x15:pivotRow>
        <x15:pivotRow count="1">
          <x15:c>
            <x15:v>59.899999999999991</x15:v>
          </x15:c>
        </x15:pivotRow>
        <x15:pivotRow count="1">
          <x15:c>
            <x15:v>36.9</x15:v>
          </x15:c>
        </x15:pivotRow>
        <x15:pivotRow count="1">
          <x15:c>
            <x15:v>22.4</x15:v>
          </x15:c>
        </x15:pivotRow>
        <x15:pivotRow count="1">
          <x15:c>
            <x15:v>50.899999999999991</x15:v>
          </x15:c>
        </x15:pivotRow>
        <x15:pivotRow count="1">
          <x15:c>
            <x15:v>32.599999999999994</x15:v>
          </x15:c>
        </x15:pivotRow>
        <x15:pivotRow count="1">
          <x15:c>
            <x15:v>45.699999999999989</x15:v>
          </x15:c>
        </x15:pivotRow>
        <x15:pivotRow count="1">
          <x15:c>
            <x15:v>458.19999999999987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74D78-AECD-4922-89A7-AFF6E63ECF26}" name="PivotChartTable2" cacheId="522" applyNumberFormats="0" applyBorderFormats="0" applyFontFormats="0" applyPatternFormats="0" applyAlignmentFormats="0" applyWidthHeightFormats="1" dataCaption="Hodnoty" updatedVersion="7" minRefreshableVersion="3" useAutoFormatting="1" subtotalHiddenItems="1" itemPrintTitles="1" createdVersion="7" indent="0" outline="1" outlineData="1" multipleFieldFilters="0" chartFormat="1">
  <location ref="A1:B14" firstHeaderRow="1" firstDataRow="1" firstDataCol="1"/>
  <pivotFields count="4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multipleItemSelectionAllowed="1" dragToData="1">
      <members count="1" level="1">
        <member name="[data].[NAME].&amp;[TURANY]"/>
      </members>
    </pivotHierarchy>
    <pivotHierarchy dragToData="1"/>
    <pivotHierarchy dragToData="1"/>
    <pivotHierarchy multipleItemSelectionAllowed="1" dragToData="1">
      <members count="1" level="1">
        <member name="[data].[Rok].&amp;[200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582727312">
        <x15:pivotRow count="1">
          <x15:c>
            <x15:v>26.1</x15:v>
          </x15:c>
        </x15:pivotRow>
        <x15:pivotRow count="1">
          <x15:c>
            <x15:v>30.200000000000003</x15:v>
          </x15:c>
        </x15:pivotRow>
        <x15:pivotRow count="1">
          <x15:c>
            <x15:v>34.599999999999994</x15:v>
          </x15:c>
        </x15:pivotRow>
        <x15:pivotRow count="1">
          <x15:c>
            <x15:v>53.699999999999989</x15:v>
          </x15:c>
        </x15:pivotRow>
        <x15:pivotRow count="1">
          <x15:c>
            <x15:v>149.70000000000005</x15:v>
          </x15:c>
        </x15:pivotRow>
        <x15:pivotRow count="1">
          <x15:c>
            <x15:v>209.8</x15:v>
          </x15:c>
        </x15:pivotRow>
        <x15:pivotRow count="1">
          <x15:c>
            <x15:v>269.7</x15:v>
          </x15:c>
        </x15:pivotRow>
        <x15:pivotRow count="1">
          <x15:c>
            <x15:v>306.60000000000002</x15:v>
          </x15:c>
        </x15:pivotRow>
        <x15:pivotRow count="1">
          <x15:c>
            <x15:v>329.00000000000006</x15:v>
          </x15:c>
        </x15:pivotRow>
        <x15:pivotRow count="1">
          <x15:c>
            <x15:v>379.90000000000003</x15:v>
          </x15:c>
        </x15:pivotRow>
        <x15:pivotRow count="1">
          <x15:c>
            <x15:v>412.50000000000006</x15:v>
          </x15:c>
        </x15:pivotRow>
        <x15:pivotRow count="1">
          <x15:c>
            <x15:v>458.20000000000005</x15:v>
          </x15:c>
        </x15:pivotRow>
        <x15:pivotRow count="1">
          <x15:c>
            <x15:v>458.20000000000005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66B86-E578-4326-AF98-48E659E19378}" name="PivotChartTable3" cacheId="519" applyNumberFormats="0" applyBorderFormats="0" applyFontFormats="0" applyPatternFormats="0" applyAlignmentFormats="0" applyWidthHeightFormats="1" dataCaption="Hodnoty" updatedVersion="7" minRefreshableVersion="3" useAutoFormatting="1" subtotalHiddenItems="1" itemPrintTitles="1" createdVersion="7" indent="0" outline="1" outlineData="1" multipleFieldFilters="0" chartFormat="1">
  <location ref="A1:C23" firstHeaderRow="0" firstDataRow="1" firstDataCol="1"/>
  <pivotFields count="5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PRCP" fld="1" baseField="0" baseItem="0"/>
    <dataField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multipleItemSelectionAllowed="1" dragToData="1">
      <members count="1" level="1">
        <member name="[data].[NAME].&amp;[TURANY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ocet let zpet].[pocet let zpet].&amp;[3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"/>
      </x15:pivotTableServerFormats>
    </ext>
    <ext xmlns:x15="http://schemas.microsoft.com/office/spreadsheetml/2010/11/main" uri="{44433962-1CF7-4059-B4EE-95C3D5FFCF73}">
      <x15:pivotTableData rowCount="22" columnCount="2" cacheId="129857149">
        <x15:pivotRow count="2">
          <x15:c>
            <x15:v>404.90000000000009</x15:v>
            <x15:x in="0"/>
          </x15:c>
          <x15:c t="e">
            <x15:v/>
            <x15:x in="0"/>
          </x15:c>
        </x15:pivotRow>
        <x15:pivotRow count="2">
          <x15:c>
            <x15:v>538.40000000000009</x15:v>
            <x15:x in="0"/>
          </x15:c>
          <x15:c t="e">
            <x15:v/>
            <x15:x in="0"/>
          </x15:c>
        </x15:pivotRow>
        <x15:pivotRow count="2">
          <x15:c>
            <x15:v>481.60000000000025</x15:v>
            <x15:x in="0"/>
          </x15:c>
          <x15:c t="e">
            <x15:v/>
            <x15:x in="0"/>
          </x15:c>
        </x15:pivotRow>
        <x15:pivotRow count="2">
          <x15:c>
            <x15:v>458.19999999999987</x15:v>
            <x15:x in="0"/>
          </x15:c>
          <x15:c>
            <x15:v>404.90000000000032</x15:v>
            <x15:x in="0"/>
          </x15:c>
        </x15:pivotRow>
        <x15:pivotRow count="2">
          <x15:c>
            <x15:v>447.09999999999991</x15:v>
            <x15:x in="0"/>
          </x15:c>
          <x15:c>
            <x15:v>538.4000000000002</x15:v>
            <x15:x in="0"/>
          </x15:c>
        </x15:pivotRow>
        <x15:pivotRow count="2">
          <x15:c>
            <x15:v>574.9000000000002</x15:v>
            <x15:x in="0"/>
          </x15:c>
          <x15:c>
            <x15:v>481.60000000000042</x15:v>
            <x15:x in="0"/>
          </x15:c>
        </x15:pivotRow>
        <x15:pivotRow count="2">
          <x15:c>
            <x15:v>652.20000000000027</x15:v>
            <x15:x in="0"/>
          </x15:c>
          <x15:c>
            <x15:v>458.20000000000005</x15:v>
            <x15:x in="0"/>
          </x15:c>
        </x15:pivotRow>
        <x15:pivotRow count="2">
          <x15:c>
            <x15:v>479.40000000000015</x15:v>
            <x15:x in="0"/>
          </x15:c>
          <x15:c>
            <x15:v>447.10000000000019</x15:v>
            <x15:x in="0"/>
          </x15:c>
        </x15:pivotRow>
        <x15:pivotRow count="2">
          <x15:c>
            <x15:v>427.90000000000003</x15:v>
            <x15:x in="0"/>
          </x15:c>
          <x15:c>
            <x15:v>574.8999999999993</x15:v>
            <x15:x in="0"/>
          </x15:c>
        </x15:pivotRow>
        <x15:pivotRow count="2">
          <x15:c>
            <x15:v>557.8000000000003</x15:v>
            <x15:x in="0"/>
          </x15:c>
          <x15:c>
            <x15:v>652.19999999999925</x15:v>
            <x15:x in="0"/>
          </x15:c>
        </x15:pivotRow>
        <x15:pivotRow count="2">
          <x15:c>
            <x15:v>689.39999999999986</x15:v>
            <x15:x in="0"/>
          </x15:c>
          <x15:c>
            <x15:v>479.40000000000038</x15:v>
            <x15:x in="0"/>
          </x15:c>
        </x15:pivotRow>
        <x15:pivotRow count="2">
          <x15:c>
            <x15:v>390.30000000000013</x15:v>
            <x15:x in="0"/>
          </x15:c>
          <x15:c>
            <x15:v>427.90000000000032</x15:v>
            <x15:x in="0"/>
          </x15:c>
        </x15:pivotRow>
        <x15:pivotRow count="2">
          <x15:c>
            <x15:v>420.40000000000003</x15:v>
            <x15:x in="0"/>
          </x15:c>
          <x15:c>
            <x15:v>557.7999999999995</x15:v>
            <x15:x in="0"/>
          </x15:c>
        </x15:pivotRow>
        <x15:pivotRow count="2">
          <x15:c>
            <x15:v>577.00000000000011</x15:v>
            <x15:x in="0"/>
          </x15:c>
          <x15:c>
            <x15:v>689.39999999999884</x15:v>
            <x15:x in="0"/>
          </x15:c>
        </x15:pivotRow>
        <x15:pivotRow count="2">
          <x15:c>
            <x15:v>602</x15:v>
            <x15:x in="0"/>
          </x15:c>
          <x15:c>
            <x15:v>390.3000000000003</x15:v>
            <x15:x in="0"/>
          </x15:c>
        </x15:pivotRow>
        <x15:pivotRow count="2">
          <x15:c>
            <x15:v>393.2</x15:v>
            <x15:x in="0"/>
          </x15:c>
          <x15:c>
            <x15:v>420.40000000000032</x15:v>
            <x15:x in="0"/>
          </x15:c>
        </x15:pivotRow>
        <x15:pivotRow count="2">
          <x15:c>
            <x15:v>616.5</x15:v>
            <x15:x in="0"/>
          </x15:c>
          <x15:c>
            <x15:v>576.99999999999943</x15:v>
            <x15:x in="0"/>
          </x15:c>
        </x15:pivotRow>
        <x15:pivotRow count="2">
          <x15:c>
            <x15:v>1702.3999999999987</x15:v>
            <x15:x in="0"/>
          </x15:c>
          <x15:c>
            <x15:v>601.99999999999932</x15:v>
            <x15:x in="0"/>
          </x15:c>
        </x15:pivotRow>
        <x15:pivotRow count="2">
          <x15:c>
            <x15:v>510.5</x15:v>
            <x15:x in="0"/>
          </x15:c>
          <x15:c>
            <x15:v>393.20000000000022</x15:v>
            <x15:x in="0"/>
          </x15:c>
        </x15:pivotRow>
        <x15:pivotRow count="2">
          <x15:c>
            <x15:v>647.59999999999991</x15:v>
            <x15:x in="0"/>
          </x15:c>
          <x15:c>
            <x15:v>616.49999999999932</x15:v>
            <x15:x in="0"/>
          </x15:c>
        </x15:pivotRow>
        <x15:pivotRow count="2">
          <x15:c>
            <x15:v>610.6</x15:v>
            <x15:x in="0"/>
          </x15:c>
          <x15:c>
            <x15:v>1702.399999999998</x15:v>
            <x15:x in="0"/>
          </x15:c>
        </x15:pivotRow>
        <x15:pivotRow count="2">
          <x15:c>
            <x15:v>12182.300000000025</x15:v>
            <x15:x in="0"/>
          </x15:c>
          <x15:c>
            <x15:v>1702.399999999998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  <x15:activeTabTopLevelEntity name="[pocet let zp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ED09F-9C46-4F63-BA68-25FFA243189D}" name="Kontingenční tabulka4" cacheId="496" applyNumberFormats="0" applyBorderFormats="0" applyFontFormats="0" applyPatternFormats="0" applyAlignmentFormats="0" applyWidthHeightFormats="1" dataCaption="Hodnoty" tag="8dbaa734-6d1b-4407-889d-f7596cf44be5" updatedVersion="7" minRefreshableVersion="3" useAutoFormatting="1" itemPrintTitles="1" createdVersion="5" indent="0" outline="1" outlineData="1" multipleFieldFilters="0">
  <location ref="B3:C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Počet Rok" fld="1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očet Rok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rok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EB0E9-42FF-4F4D-B1AC-ABF9D92A9C72}" name="Kontingenční tabulka1" cacheId="499" applyNumberFormats="0" applyBorderFormats="0" applyFontFormats="0" applyPatternFormats="0" applyAlignmentFormats="0" applyWidthHeightFormats="1" dataCaption="Hodnoty" tag="99046379-2c85-42f6-9313-4d6a0e999263" updatedVersion="7" minRefreshableVersion="3" useAutoFormatting="1" itemPrintTitles="1" createdVersion="5" indent="0" outline="1" outlineData="1" multipleFieldFilters="0">
  <location ref="B3:D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PRCP" fld="1" baseField="0" baseItem="0"/>
    <dataField fld="2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341F7-12D6-465E-B9E2-5D65430C0172}" name="Kontingenční tabulka1" cacheId="503" applyNumberFormats="0" applyBorderFormats="0" applyFontFormats="0" applyPatternFormats="0" applyAlignmentFormats="0" applyWidthHeightFormats="1" dataCaption="Hodnoty" tag="607ff81f-e44b-4d01-b23c-7d238e3d608c" updatedVersion="7" minRefreshableVersion="3" useAutoFormatting="1" subtotalHiddenItems="1" itemPrintTitles="1" createdVersion="5" indent="0" outline="1" outlineData="1" multipleFieldFilters="0">
  <location ref="B3:D19" firstHeaderRow="0" firstDataRow="1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PRCP" fld="1" baseField="0" baseItem="0"/>
    <dataField fld="3" subtotal="count" baseField="0" baseItem="0"/>
  </dataFields>
  <pivotHierarchies count="38">
    <pivotHierarchy multipleItemSelectionAllowed="1" dragToData="1">
      <members count="1" level="1">
        <member name="[data].[NAME].&amp;[PIDING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NAME" xr10:uid="{40DD5767-F44A-4952-9F3E-6B180E3E7266}" sourceName="[data].[NAME]">
  <pivotTables>
    <pivotTable tabId="2" name="Kontingenční tabulka1"/>
  </pivotTables>
  <data>
    <olap pivotCacheId="1424886836">
      <levels count="2">
        <level uniqueName="[data].[NAME].[(All)]" sourceCaption="(All)" count="0"/>
        <level uniqueName="[data].[NAME].[NAME]" sourceCaption="NAME" count="10">
          <ranges>
            <range startItem="0">
              <i n="[data].[NAME].&amp;[GRAZ]" c="GRAZ"/>
              <i n="[data].[NAME].&amp;[KOSICE]" c="KOSICE"/>
              <i n="[data].[NAME].&amp;[MOSNOV]" c="MOSNOV"/>
              <i n="[data].[NAME].&amp;[PIDING]" c="PIDING"/>
              <i n="[data].[NAME].&amp;[PRAHA KLEMENTINUM]" c="PRAHA KLEMENTINUM"/>
              <i n="[data].[NAME].&amp;[PRAHA LIBUS]" c="PRAHA LIBUS"/>
              <i n="[data].[NAME].&amp;[RUZYNE]" c="RUZYNE"/>
              <i n="[data].[NAME].&amp;[SALZBURG]" c="SALZBURG"/>
              <i n="[data].[NAME].&amp;[TURANY]" c="TURANY"/>
              <i n="[data].[NAME].&amp;[WIEN]" c="WIEN"/>
            </range>
          </ranges>
        </level>
      </levels>
      <selections count="1">
        <selection n="[data].[NAME].&amp;[PIDING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Rok" xr10:uid="{2C6FFD07-C894-4C0A-A79A-4054B2FA9442}" sourceName="[data].[Rok]">
  <data>
    <olap pivotCacheId="805047688">
      <levels count="2">
        <level uniqueName="[data].[Rok].[(All)]" sourceCaption="(All)" count="0"/>
        <level uniqueName="[data].[Rok].[Rok]" sourceCaption="Rok" count="21">
          <ranges>
            <range startItem="0">
              <i n="[data].[Rok].&amp;[2000]" c="2000"/>
              <i n="[data].[Rok].&amp;[2001]" c="2001"/>
              <i n="[data].[Rok].&amp;[2002]" c="2002"/>
              <i n="[data].[Rok].&amp;[2003]" c="2003"/>
              <i n="[data].[Rok].&amp;[2004]" c="2004"/>
              <i n="[data].[Rok].&amp;[2005]" c="2005"/>
              <i n="[data].[Rok].&amp;[2006]" c="2006"/>
              <i n="[data].[Rok].&amp;[2007]" c="2007"/>
              <i n="[data].[Rok].&amp;[2008]" c="2008"/>
              <i n="[data].[Rok].&amp;[2009]" c="2009"/>
              <i n="[data].[Rok].&amp;[2010]" c="2010"/>
              <i n="[data].[Rok].&amp;[2011]" c="2011"/>
              <i n="[data].[Rok].&amp;[2012]" c="2012"/>
              <i n="[data].[Rok].&amp;[2013]" c="2013"/>
              <i n="[data].[Rok].&amp;[2014]" c="2014"/>
              <i n="[data].[Rok].&amp;[2015]" c="2015"/>
              <i n="[data].[Rok].&amp;[2016]" c="2016"/>
              <i n="[data].[Rok].&amp;[2017]" c="2017"/>
              <i n="[data].[Rok].&amp;[2018]" c="2018"/>
              <i n="[data].[Rok].&amp;[2019]" c="2019"/>
              <i n="[data].[Rok].&amp;[2020]" c="2020"/>
            </range>
          </ranges>
        </level>
      </levels>
      <selections count="1">
        <selection n="[data].[Rok].&amp;[2003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1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NAME1" xr10:uid="{ED943928-04B4-4ABC-81CF-01EDB6D42F4D}" sourceName="[data].[NAME]">
  <data>
    <olap pivotCacheId="805047688">
      <levels count="2">
        <level uniqueName="[data].[NAME].[(All)]" sourceCaption="(All)" count="0"/>
        <level uniqueName="[data].[NAME].[NAME]" sourceCaption="NAME" count="10">
          <ranges>
            <range startItem="0">
              <i n="[data].[NAME].&amp;[GRAZ]" c="GRAZ"/>
              <i n="[data].[NAME].&amp;[KOSICE]" c="KOSICE"/>
              <i n="[data].[NAME].&amp;[MOSNOV]" c="MOSNOV"/>
              <i n="[data].[NAME].&amp;[PIDING]" c="PIDING"/>
              <i n="[data].[NAME].&amp;[PRAHA KLEMENTINUM]" c="PRAHA KLEMENTINUM"/>
              <i n="[data].[NAME].&amp;[PRAHA LIBUS]" c="PRAHA LIBUS"/>
              <i n="[data].[NAME].&amp;[RUZYNE]" c="RUZYNE"/>
              <i n="[data].[NAME].&amp;[SALZBURG]" c="SALZBURG"/>
              <i n="[data].[NAME].&amp;[TURANY]" c="TURANY"/>
              <i n="[data].[NAME].&amp;[WIEN]" c="WIEN"/>
            </range>
          </ranges>
        </level>
      </levels>
      <selections count="1">
        <selection n="[data].[NAME].&amp;[TURANY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  <pivotTable tabId="4294967295" name="PivotChartTable2"/>
        <pivotTable tabId="4294967295" name="PivotChartTable1"/>
      </x15:slicerCachePivotTables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pocet_let_zpet" xr10:uid="{A9E9ACF9-DCFA-4804-9729-6AA92697A5EB}" sourceName="[pocet let zpet].[pocet let zpet]">
  <data>
    <olap pivotCacheId="805047688">
      <levels count="2">
        <level uniqueName="[pocet let zpet].[pocet let zpet].[(All)]" sourceCaption="(All)" count="0"/>
        <level uniqueName="[pocet let zpet].[pocet let zpet].[pocet let zpet]" sourceCaption="pocet let zpet" count="3">
          <ranges>
            <range startItem="0">
              <i n="[pocet let zpet].[pocet let zpet].&amp;[1]" c="1"/>
              <i n="[pocet let zpet].[pocet let zpet].&amp;[2]" c="2"/>
              <i n="[pocet let zpet].[pocet let zpet].&amp;[3]" c="3"/>
            </range>
          </ranges>
        </level>
      </levels>
      <selections count="1">
        <selection n="[pocet let zpet].[pocet let zpet].&amp;[3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</x15:slicerCachePivotTables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funkce" xr10:uid="{0A825864-E455-448F-BA1D-E3684589BBBB}" sourceName="[funkce].[funkce]">
  <data>
    <olap pivotCacheId="704670869">
      <levels count="2">
        <level uniqueName="[funkce].[funkce].[(All)]" sourceCaption="(All)" count="0"/>
        <level uniqueName="[funkce].[funkce].[funkce]" sourceCaption="funkce" count="3">
          <ranges>
            <range startItem="0">
              <i n="[funkce].[funkce].&amp;[Maximum]" c="Maximum"/>
              <i n="[funkce].[funkce].&amp;[Průměr]" c="Průměr"/>
              <i n="[funkce].[funkce].&amp;[Suma]" c="Suma"/>
            </range>
          </ranges>
        </level>
      </levels>
      <selections count="1">
        <selection n="[funkce].[funkc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7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unkce" xr10:uid="{6614754D-8657-4724-A491-B23C8D151846}" cache="Průřez_funkce" caption="funkce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k" xr10:uid="{12C50F4C-A99A-4423-89DD-F483D39B6A96}" cache="Průřez_Rok" caption="Rok" startItem="6" level="1" rowHeight="241300"/>
  <slicer name="NAME 1" xr10:uid="{1B340DF9-F355-4681-9865-4564A8163AFD}" cache="Průřez_NAME1" caption="NAME" level="1" rowHeight="241300"/>
  <slicer name="pocet let zpet" xr10:uid="{353878A1-12CA-4DF0-AE2B-4B6AEA6A4CB1}" cache="Průřez_pocet_let_zpet" caption="pocet let zpet" level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ME" xr10:uid="{1D2F9C76-6503-48E9-8D15-479597160D13}" cache="Průřez_NAME" caption="NAME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CF1F9-C985-4A69-8832-6BCCBEFF2601}" name="funkce" displayName="funkce" ref="A1:B4" totalsRowShown="0">
  <autoFilter ref="A1:B4" xr:uid="{111CF1F9-C985-4A69-8832-6BCCBEFF2601}"/>
  <tableColumns count="2">
    <tableColumn id="1" xr3:uid="{33AEC23E-D281-47F5-9365-6202651EFD14}" name="index"/>
    <tableColumn id="2" xr3:uid="{D47EE81D-4C6D-4897-9E43-565C8E7F91DB}" name="funk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A117-C6A1-401E-93F2-D4A13950C0B8}">
  <dimension ref="B3:C6"/>
  <sheetViews>
    <sheetView tabSelected="1" workbookViewId="0">
      <selection activeCell="M10" sqref="M10"/>
    </sheetView>
  </sheetViews>
  <sheetFormatPr defaultRowHeight="15" x14ac:dyDescent="0.25"/>
  <cols>
    <col min="2" max="2" width="15.7109375" bestFit="1" customWidth="1"/>
    <col min="3" max="3" width="9.7109375" bestFit="1" customWidth="1"/>
  </cols>
  <sheetData>
    <row r="3" spans="2:3" x14ac:dyDescent="0.25">
      <c r="B3" s="1" t="s">
        <v>0</v>
      </c>
      <c r="C3" t="s">
        <v>6</v>
      </c>
    </row>
    <row r="4" spans="2:3" x14ac:dyDescent="0.25">
      <c r="B4" s="2" t="s">
        <v>4</v>
      </c>
      <c r="C4" s="3">
        <v>15</v>
      </c>
    </row>
    <row r="5" spans="2:3" x14ac:dyDescent="0.25">
      <c r="B5" s="2" t="s">
        <v>5</v>
      </c>
      <c r="C5" s="3">
        <v>6</v>
      </c>
    </row>
    <row r="6" spans="2:3" x14ac:dyDescent="0.25">
      <c r="B6" s="2" t="s">
        <v>1</v>
      </c>
      <c r="C6" s="3">
        <v>21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6F97-AD61-4F63-B26E-EA8DD96DC76A}">
  <dimension ref="A1"/>
  <sheetViews>
    <sheetView workbookViewId="0">
      <selection activeCell="J21" sqref="J21"/>
    </sheetView>
  </sheetViews>
  <sheetFormatPr defaultRowHeight="15" x14ac:dyDescent="0.25"/>
  <sheetData/>
  <pageMargins left="0.7" right="0.7" top="0.78740157499999996" bottom="0.78740157499999996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0641-B88F-45F5-9103-D2EAF943D3C1}">
  <dimension ref="A1:B4"/>
  <sheetViews>
    <sheetView zoomScale="130" zoomScaleNormal="130" workbookViewId="0">
      <selection activeCell="C13" sqref="C13"/>
    </sheetView>
  </sheetViews>
  <sheetFormatPr defaultRowHeight="15" x14ac:dyDescent="0.25"/>
  <cols>
    <col min="2" max="2" width="21.140625" customWidth="1"/>
  </cols>
  <sheetData>
    <row r="1" spans="1:2" x14ac:dyDescent="0.25">
      <c r="A1" t="s">
        <v>8</v>
      </c>
      <c r="B1" t="s">
        <v>9</v>
      </c>
    </row>
    <row r="2" spans="1:2" x14ac:dyDescent="0.25">
      <c r="A2">
        <v>0</v>
      </c>
      <c r="B2" t="s">
        <v>10</v>
      </c>
    </row>
    <row r="3" spans="1:2" x14ac:dyDescent="0.25">
      <c r="A3">
        <v>1</v>
      </c>
      <c r="B3" t="s">
        <v>11</v>
      </c>
    </row>
    <row r="4" spans="1:2" x14ac:dyDescent="0.25">
      <c r="A4">
        <v>2</v>
      </c>
      <c r="B4" t="s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86A9-6F36-4608-9015-A881D395E9A9}">
  <dimension ref="A1"/>
  <sheetViews>
    <sheetView topLeftCell="A31" workbookViewId="0">
      <selection activeCell="M35" sqref="M35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3CEC-ABDD-4427-A739-57BC787B3445}">
  <dimension ref="B3:D25"/>
  <sheetViews>
    <sheetView topLeftCell="A4" workbookViewId="0">
      <selection activeCell="C24" sqref="C24:D24"/>
    </sheetView>
  </sheetViews>
  <sheetFormatPr defaultRowHeight="15" x14ac:dyDescent="0.25"/>
  <cols>
    <col min="2" max="2" width="15.7109375" bestFit="1" customWidth="1"/>
    <col min="3" max="3" width="12" bestFit="1" customWidth="1"/>
    <col min="4" max="4" width="28.28515625" bestFit="1" customWidth="1"/>
  </cols>
  <sheetData>
    <row r="3" spans="2:4" x14ac:dyDescent="0.25">
      <c r="B3" s="1" t="s">
        <v>0</v>
      </c>
      <c r="C3" t="s">
        <v>2</v>
      </c>
      <c r="D3" t="s">
        <v>7</v>
      </c>
    </row>
    <row r="4" spans="2:4" x14ac:dyDescent="0.25">
      <c r="B4" s="2">
        <v>2000</v>
      </c>
      <c r="C4" s="3">
        <v>4799.8999999999996</v>
      </c>
      <c r="D4" s="3">
        <v>-1879.3000000000002</v>
      </c>
    </row>
    <row r="5" spans="2:4" x14ac:dyDescent="0.25">
      <c r="B5" s="2">
        <v>2001</v>
      </c>
      <c r="C5" s="3">
        <v>5192.8999999999978</v>
      </c>
      <c r="D5" s="3">
        <v>-1486.300000000002</v>
      </c>
    </row>
    <row r="6" spans="2:4" x14ac:dyDescent="0.25">
      <c r="B6" s="2">
        <v>2002</v>
      </c>
      <c r="C6" s="3">
        <v>6707.2999999999993</v>
      </c>
      <c r="D6" s="3">
        <v>28.099999999999454</v>
      </c>
    </row>
    <row r="7" spans="2:4" x14ac:dyDescent="0.25">
      <c r="B7" s="2">
        <v>2003</v>
      </c>
      <c r="C7" s="3">
        <v>4297.5</v>
      </c>
      <c r="D7" s="3">
        <v>-2381.6999999999998</v>
      </c>
    </row>
    <row r="8" spans="2:4" x14ac:dyDescent="0.25">
      <c r="B8" s="2">
        <v>2004</v>
      </c>
      <c r="C8" s="3">
        <v>5596.0999999999985</v>
      </c>
      <c r="D8" s="3">
        <v>-1083.1000000000013</v>
      </c>
    </row>
    <row r="9" spans="2:4" x14ac:dyDescent="0.25">
      <c r="B9" s="2">
        <v>2005</v>
      </c>
      <c r="C9" s="3">
        <v>5641.3999999999978</v>
      </c>
      <c r="D9" s="3">
        <v>-1037.800000000002</v>
      </c>
    </row>
    <row r="10" spans="2:4" x14ac:dyDescent="0.25">
      <c r="B10" s="2">
        <v>2006</v>
      </c>
      <c r="C10" s="3">
        <v>5415.199999999998</v>
      </c>
      <c r="D10" s="3">
        <v>-1264.0000000000018</v>
      </c>
    </row>
    <row r="11" spans="2:4" x14ac:dyDescent="0.25">
      <c r="B11" s="2">
        <v>2007</v>
      </c>
      <c r="C11" s="3">
        <v>7079.9000000000005</v>
      </c>
      <c r="D11" s="3">
        <v>400.70000000000073</v>
      </c>
    </row>
    <row r="12" spans="2:4" x14ac:dyDescent="0.25">
      <c r="B12" s="2">
        <v>2008</v>
      </c>
      <c r="C12" s="3">
        <v>6576.7999999999965</v>
      </c>
      <c r="D12" s="3">
        <v>-102.40000000000327</v>
      </c>
    </row>
    <row r="13" spans="2:4" x14ac:dyDescent="0.25">
      <c r="B13" s="2">
        <v>2009</v>
      </c>
      <c r="C13" s="3">
        <v>7743.1999999999989</v>
      </c>
      <c r="D13" s="3">
        <v>1063.9999999999991</v>
      </c>
    </row>
    <row r="14" spans="2:4" x14ac:dyDescent="0.25">
      <c r="B14" s="2">
        <v>2010</v>
      </c>
      <c r="C14" s="3">
        <v>7965.4</v>
      </c>
      <c r="D14" s="3">
        <v>1286.1999999999998</v>
      </c>
    </row>
    <row r="15" spans="2:4" x14ac:dyDescent="0.25">
      <c r="B15" s="2">
        <v>2011</v>
      </c>
      <c r="C15" s="3">
        <v>5562.1</v>
      </c>
      <c r="D15" s="3">
        <v>-1117.0999999999995</v>
      </c>
    </row>
    <row r="16" spans="2:4" x14ac:dyDescent="0.25">
      <c r="B16" s="2">
        <v>2012</v>
      </c>
      <c r="C16" s="3">
        <v>6425.3999999999987</v>
      </c>
      <c r="D16" s="3">
        <v>-253.80000000000109</v>
      </c>
    </row>
    <row r="17" spans="2:4" x14ac:dyDescent="0.25">
      <c r="B17" s="2">
        <v>2013</v>
      </c>
      <c r="C17" s="3">
        <v>6825.9000000000042</v>
      </c>
      <c r="D17" s="3">
        <v>146.70000000000437</v>
      </c>
    </row>
    <row r="18" spans="2:4" x14ac:dyDescent="0.25">
      <c r="B18" s="2">
        <v>2014</v>
      </c>
      <c r="C18" s="3">
        <v>7393.1</v>
      </c>
      <c r="D18" s="3">
        <v>713.90000000000055</v>
      </c>
    </row>
    <row r="19" spans="2:4" x14ac:dyDescent="0.25">
      <c r="B19" s="2">
        <v>2015</v>
      </c>
      <c r="C19" s="3">
        <v>5484.3000000000029</v>
      </c>
      <c r="D19" s="3">
        <v>-1194.8999999999969</v>
      </c>
    </row>
    <row r="20" spans="2:4" x14ac:dyDescent="0.25">
      <c r="B20" s="2">
        <v>2016</v>
      </c>
      <c r="C20" s="3">
        <v>8167.2999999999947</v>
      </c>
      <c r="D20" s="3">
        <v>1488.0999999999949</v>
      </c>
    </row>
    <row r="21" spans="2:4" x14ac:dyDescent="0.25">
      <c r="B21" s="2">
        <v>2017</v>
      </c>
      <c r="C21" s="3">
        <v>9849.4000000000015</v>
      </c>
      <c r="D21" s="3">
        <v>3170.2000000000016</v>
      </c>
    </row>
    <row r="22" spans="2:4" x14ac:dyDescent="0.25">
      <c r="B22" s="2">
        <v>2018</v>
      </c>
      <c r="C22" s="3">
        <v>4919.1999999999971</v>
      </c>
      <c r="D22" s="3">
        <v>-1760.0000000000027</v>
      </c>
    </row>
    <row r="23" spans="2:4" x14ac:dyDescent="0.25">
      <c r="B23" s="2">
        <v>2019</v>
      </c>
      <c r="C23" s="3">
        <v>6675.9000000000015</v>
      </c>
      <c r="D23" s="3">
        <v>-3.2999999999983629</v>
      </c>
    </row>
    <row r="24" spans="2:4" x14ac:dyDescent="0.25">
      <c r="B24" s="2">
        <v>2020</v>
      </c>
      <c r="C24" s="3">
        <v>6679.2</v>
      </c>
      <c r="D24" s="3">
        <v>0</v>
      </c>
    </row>
    <row r="25" spans="2:4" x14ac:dyDescent="0.25">
      <c r="B25" s="2" t="s">
        <v>1</v>
      </c>
      <c r="C25" s="3">
        <v>134997.39999999991</v>
      </c>
      <c r="D25" s="3">
        <v>128318.19999999991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E1BC-E84A-4104-9ED0-CD3017769B75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50B1-5C09-4833-8FA7-A842197E8B16}">
  <dimension ref="A51:B52"/>
  <sheetViews>
    <sheetView topLeftCell="A39" zoomScale="145" zoomScaleNormal="145" workbookViewId="0">
      <selection activeCell="E50" sqref="E50"/>
    </sheetView>
  </sheetViews>
  <sheetFormatPr defaultRowHeight="15" x14ac:dyDescent="0.25"/>
  <cols>
    <col min="2" max="2" width="34.140625" customWidth="1"/>
  </cols>
  <sheetData>
    <row r="51" spans="1:2" x14ac:dyDescent="0.25">
      <c r="A51">
        <v>2001</v>
      </c>
      <c r="B51" vm="1">
        <f>CUBEVALUE("ThisWorkbookDataModel","[Measures].[min_srazky]","[data].[Rok].[All].["&amp;A51&amp;"]")</f>
        <v>41.1</v>
      </c>
    </row>
    <row r="52" spans="1:2" x14ac:dyDescent="0.25">
      <c r="A52">
        <v>2002</v>
      </c>
      <c r="B52" vm="2">
        <f>CUBEVALUE("ThisWorkbookDataModel","[Measures].[min_srazky]","[data].[Rok].[All].["&amp;A52&amp;"]")</f>
        <v>101.5</v>
      </c>
    </row>
  </sheetData>
  <pageMargins left="0.7" right="0.7" top="0.78740157499999996" bottom="0.78740157499999996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E1C2-9252-4ACA-9AF8-23E0B7F09D57}">
  <dimension ref="B3:D19"/>
  <sheetViews>
    <sheetView topLeftCell="A7" workbookViewId="0">
      <selection activeCell="B16" sqref="B16"/>
    </sheetView>
  </sheetViews>
  <sheetFormatPr defaultRowHeight="15" x14ac:dyDescent="0.25"/>
  <cols>
    <col min="2" max="2" width="15.7109375" bestFit="1" customWidth="1"/>
    <col min="3" max="3" width="12" bestFit="1" customWidth="1"/>
    <col min="4" max="4" width="16.28515625" bestFit="1" customWidth="1"/>
  </cols>
  <sheetData>
    <row r="3" spans="2:4" x14ac:dyDescent="0.25">
      <c r="B3" s="1" t="s">
        <v>0</v>
      </c>
      <c r="C3" t="s">
        <v>2</v>
      </c>
      <c r="D3" t="s">
        <v>3</v>
      </c>
    </row>
    <row r="4" spans="2:4" x14ac:dyDescent="0.25">
      <c r="B4" s="2">
        <v>2006</v>
      </c>
      <c r="C4" s="3">
        <v>35.800000000000004</v>
      </c>
      <c r="D4" s="3">
        <v>35.800000000000004</v>
      </c>
    </row>
    <row r="5" spans="2:4" x14ac:dyDescent="0.25">
      <c r="B5" s="2">
        <v>2007</v>
      </c>
      <c r="C5" s="3">
        <v>1379.1999999999987</v>
      </c>
      <c r="D5" s="3">
        <v>1343.3999999999987</v>
      </c>
    </row>
    <row r="6" spans="2:4" x14ac:dyDescent="0.25">
      <c r="B6" s="2">
        <v>2008</v>
      </c>
      <c r="C6" s="3">
        <v>1139.7999999999995</v>
      </c>
      <c r="D6" s="3">
        <v>-239.39999999999804</v>
      </c>
    </row>
    <row r="7" spans="2:4" x14ac:dyDescent="0.25">
      <c r="B7" s="2">
        <v>2009</v>
      </c>
      <c r="C7" s="3">
        <v>1367.8000000000004</v>
      </c>
      <c r="D7" s="3">
        <v>228.00000000000159</v>
      </c>
    </row>
    <row r="8" spans="2:4" x14ac:dyDescent="0.25">
      <c r="B8" s="2">
        <v>2010</v>
      </c>
      <c r="C8" s="3">
        <v>1047.9000000000005</v>
      </c>
      <c r="D8" s="3">
        <v>-319.89999999999895</v>
      </c>
    </row>
    <row r="9" spans="2:4" x14ac:dyDescent="0.25">
      <c r="B9" s="2">
        <v>2011</v>
      </c>
      <c r="C9" s="3">
        <v>1103.1000000000004</v>
      </c>
      <c r="D9" s="3">
        <v>55.200000000000728</v>
      </c>
    </row>
    <row r="10" spans="2:4" x14ac:dyDescent="0.25">
      <c r="B10" s="2">
        <v>2012</v>
      </c>
      <c r="C10" s="3">
        <v>1255.6999999999998</v>
      </c>
      <c r="D10" s="3">
        <v>152.60000000000082</v>
      </c>
    </row>
    <row r="11" spans="2:4" x14ac:dyDescent="0.25">
      <c r="B11" s="2">
        <v>2013</v>
      </c>
      <c r="C11" s="3">
        <v>1229.5000000000005</v>
      </c>
      <c r="D11" s="3">
        <v>-26.199999999997999</v>
      </c>
    </row>
    <row r="12" spans="2:4" x14ac:dyDescent="0.25">
      <c r="B12" s="2">
        <v>2014</v>
      </c>
      <c r="C12" s="3">
        <v>1180</v>
      </c>
      <c r="D12" s="3">
        <v>-49.499999999999318</v>
      </c>
    </row>
    <row r="13" spans="2:4" x14ac:dyDescent="0.25">
      <c r="B13" s="2">
        <v>2015</v>
      </c>
      <c r="C13" s="3">
        <v>985.89999999999986</v>
      </c>
      <c r="D13" s="3">
        <v>-194.099999999999</v>
      </c>
    </row>
    <row r="14" spans="2:4" x14ac:dyDescent="0.25">
      <c r="B14" s="2">
        <v>2016</v>
      </c>
      <c r="C14" s="3">
        <v>1373.1999999999994</v>
      </c>
      <c r="D14" s="3">
        <v>387.29999999999927</v>
      </c>
    </row>
    <row r="15" spans="2:4" x14ac:dyDescent="0.25">
      <c r="B15" s="2">
        <v>2017</v>
      </c>
      <c r="C15" s="3">
        <v>1349.7</v>
      </c>
      <c r="D15" s="3">
        <v>-23.499999999998181</v>
      </c>
    </row>
    <row r="16" spans="2:4" x14ac:dyDescent="0.25">
      <c r="B16" s="2">
        <v>2018</v>
      </c>
      <c r="C16" s="3">
        <v>1212.6999999999989</v>
      </c>
      <c r="D16" s="3">
        <v>-137.00000000000045</v>
      </c>
    </row>
    <row r="17" spans="2:4" x14ac:dyDescent="0.25">
      <c r="B17" s="2">
        <v>2019</v>
      </c>
      <c r="C17" s="3">
        <v>1346.8999999999999</v>
      </c>
      <c r="D17" s="3">
        <v>134.20000000000209</v>
      </c>
    </row>
    <row r="18" spans="2:4" x14ac:dyDescent="0.25">
      <c r="B18" s="2">
        <v>2020</v>
      </c>
      <c r="C18" s="3">
        <v>1373.6000000000001</v>
      </c>
      <c r="D18" s="3">
        <v>26.700000000000955</v>
      </c>
    </row>
    <row r="19" spans="2:4" x14ac:dyDescent="0.25">
      <c r="B19" s="2" t="s">
        <v>1</v>
      </c>
      <c r="C19" s="3">
        <v>17380.800000000003</v>
      </c>
      <c r="D19" s="3">
        <v>16033.9</v>
      </c>
    </row>
  </sheetData>
  <pageMargins left="0.7" right="0.7" top="0.78740157499999996" bottom="0.78740157499999996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520B-EDFC-46E0-8E55-6B9C844A5F1C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omomomomomomomomomomomom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14026D18-9BEC-4234-8EA0-48A5B614C7D2}">
  <ds:schemaRefs/>
</ds:datastoreItem>
</file>

<file path=customXml/itemProps2.xml><?xml version="1.0" encoding="utf-8"?>
<ds:datastoreItem xmlns:ds="http://schemas.openxmlformats.org/officeDocument/2006/customXml" ds:itemID="{088CAA33-BFA8-467D-93C0-36C8F32D5FAA}">
  <ds:schemaRefs/>
</ds:datastoreItem>
</file>

<file path=customXml/itemProps3.xml><?xml version="1.0" encoding="utf-8"?>
<ds:datastoreItem xmlns:ds="http://schemas.openxmlformats.org/officeDocument/2006/customXml" ds:itemID="{B2746BED-5FFE-4E1A-BD4B-E63325B926C0}">
  <ds:schemaRefs/>
</ds:datastoreItem>
</file>

<file path=customXml/itemProps4.xml><?xml version="1.0" encoding="utf-8"?>
<ds:datastoreItem xmlns:ds="http://schemas.openxmlformats.org/officeDocument/2006/customXml" ds:itemID="{2832B9BE-51EB-41DF-9B05-5041D2294024}">
  <ds:schemaRefs/>
</ds:datastoreItem>
</file>

<file path=customXml/itemProps5.xml><?xml version="1.0" encoding="utf-8"?>
<ds:datastoreItem xmlns:ds="http://schemas.openxmlformats.org/officeDocument/2006/customXml" ds:itemID="{116E14EF-1928-4804-8714-E2D42E59A97A}">
  <ds:schemaRefs/>
</ds:datastoreItem>
</file>

<file path=customXml/itemProps6.xml><?xml version="1.0" encoding="utf-8"?>
<ds:datastoreItem xmlns:ds="http://schemas.openxmlformats.org/officeDocument/2006/customXml" ds:itemID="{0A1B7042-C37C-456D-9ADA-4D8DF92CED1D}">
  <ds:schemaRefs/>
</ds:datastoreItem>
</file>

<file path=customXml/itemProps7.xml><?xml version="1.0" encoding="utf-8"?>
<ds:datastoreItem xmlns:ds="http://schemas.openxmlformats.org/officeDocument/2006/customXml" ds:itemID="{8DE1375C-3F8A-4FC6-9279-CB6839D48939}">
  <ds:schemaRefs/>
</ds:datastoreItem>
</file>

<file path=customXml/itemProps8.xml><?xml version="1.0" encoding="utf-8"?>
<ds:datastoreItem xmlns:ds="http://schemas.openxmlformats.org/officeDocument/2006/customXml" ds:itemID="{CB0AFB8B-0F53-4F68-ABE1-75C09D26773A}">
  <ds:schemaRefs/>
</ds:datastoreItem>
</file>

<file path=customXml/itemProps9.xml><?xml version="1.0" encoding="utf-8"?>
<ds:datastoreItem xmlns:ds="http://schemas.openxmlformats.org/officeDocument/2006/customXml" ds:itemID="{CF35F635-371C-4A90-9570-C5B5E007E906}">
  <ds:schemaRefs/>
</ds:datastoreItem>
</file>

<file path=customXml/itemProps10.xml><?xml version="1.0" encoding="utf-8"?>
<ds:datastoreItem xmlns:ds="http://schemas.openxmlformats.org/officeDocument/2006/customXml" ds:itemID="{ED0B041A-B6DB-4F3E-AF6B-5F54623BBF01}">
  <ds:schemaRefs/>
</ds:datastoreItem>
</file>

<file path=customXml/itemProps11.xml><?xml version="1.0" encoding="utf-8"?>
<ds:datastoreItem xmlns:ds="http://schemas.openxmlformats.org/officeDocument/2006/customXml" ds:itemID="{7FE00474-68FA-4B03-B1EA-64C282FDDEBA}">
  <ds:schemaRefs/>
</ds:datastoreItem>
</file>

<file path=customXml/itemProps12.xml><?xml version="1.0" encoding="utf-8"?>
<ds:datastoreItem xmlns:ds="http://schemas.openxmlformats.org/officeDocument/2006/customXml" ds:itemID="{3A5B9080-D2E2-4058-A61C-79B6E75C2967}">
  <ds:schemaRefs/>
</ds:datastoreItem>
</file>

<file path=customXml/itemProps13.xml><?xml version="1.0" encoding="utf-8"?>
<ds:datastoreItem xmlns:ds="http://schemas.openxmlformats.org/officeDocument/2006/customXml" ds:itemID="{512E5A3A-55C4-4127-87DD-126912FF4412}">
  <ds:schemaRefs/>
</ds:datastoreItem>
</file>

<file path=customXml/itemProps14.xml><?xml version="1.0" encoding="utf-8"?>
<ds:datastoreItem xmlns:ds="http://schemas.openxmlformats.org/officeDocument/2006/customXml" ds:itemID="{29EEE322-BB94-4E8F-B297-3266DBA52BF2}">
  <ds:schemaRefs/>
</ds:datastoreItem>
</file>

<file path=customXml/itemProps15.xml><?xml version="1.0" encoding="utf-8"?>
<ds:datastoreItem xmlns:ds="http://schemas.openxmlformats.org/officeDocument/2006/customXml" ds:itemID="{1F2CD36D-6102-4CF1-8B69-9F2FA8E13AB0}">
  <ds:schemaRefs/>
</ds:datastoreItem>
</file>

<file path=customXml/itemProps16.xml><?xml version="1.0" encoding="utf-8"?>
<ds:datastoreItem xmlns:ds="http://schemas.openxmlformats.org/officeDocument/2006/customXml" ds:itemID="{031B1E4E-83D1-4315-B121-8F5B5F11ED59}">
  <ds:schemaRefs/>
</ds:datastoreItem>
</file>

<file path=customXml/itemProps17.xml><?xml version="1.0" encoding="utf-8"?>
<ds:datastoreItem xmlns:ds="http://schemas.openxmlformats.org/officeDocument/2006/customXml" ds:itemID="{017EBBC7-B3D3-4CD9-968D-9B2C747C873E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74622960-7277-4F7B-A057-1C28C5B54AC1}">
  <ds:schemaRefs/>
</ds:datastoreItem>
</file>

<file path=customXml/itemProps19.xml><?xml version="1.0" encoding="utf-8"?>
<ds:datastoreItem xmlns:ds="http://schemas.openxmlformats.org/officeDocument/2006/customXml" ds:itemID="{B521CF54-9ACC-44F7-A714-80C887948770}">
  <ds:schemaRefs/>
</ds:datastoreItem>
</file>

<file path=customXml/itemProps20.xml><?xml version="1.0" encoding="utf-8"?>
<ds:datastoreItem xmlns:ds="http://schemas.openxmlformats.org/officeDocument/2006/customXml" ds:itemID="{0A430817-2496-4072-90FA-6E07110176C0}">
  <ds:schemaRefs/>
</ds:datastoreItem>
</file>

<file path=customXml/itemProps21.xml><?xml version="1.0" encoding="utf-8"?>
<ds:datastoreItem xmlns:ds="http://schemas.openxmlformats.org/officeDocument/2006/customXml" ds:itemID="{69847B82-D03E-42BF-9D2D-47FBEF292741}">
  <ds:schemaRefs/>
</ds:datastoreItem>
</file>

<file path=customXml/itemProps22.xml><?xml version="1.0" encoding="utf-8"?>
<ds:datastoreItem xmlns:ds="http://schemas.openxmlformats.org/officeDocument/2006/customXml" ds:itemID="{0A7C5AF6-6068-4FFC-95A5-E5103606D436}">
  <ds:schemaRefs/>
</ds:datastoreItem>
</file>

<file path=customXml/itemProps23.xml><?xml version="1.0" encoding="utf-8"?>
<ds:datastoreItem xmlns:ds="http://schemas.openxmlformats.org/officeDocument/2006/customXml" ds:itemID="{9B920A98-3F48-4195-8D35-29F5A16B08D2}">
  <ds:schemaRefs/>
</ds:datastoreItem>
</file>

<file path=customXml/itemProps24.xml><?xml version="1.0" encoding="utf-8"?>
<ds:datastoreItem xmlns:ds="http://schemas.openxmlformats.org/officeDocument/2006/customXml" ds:itemID="{65563F47-70FD-4169-BA14-171A21917431}">
  <ds:schemaRefs/>
</ds:datastoreItem>
</file>

<file path=customXml/itemProps25.xml><?xml version="1.0" encoding="utf-8"?>
<ds:datastoreItem xmlns:ds="http://schemas.openxmlformats.org/officeDocument/2006/customXml" ds:itemID="{BE3FF1EC-2816-4CCA-8434-39CD67ED9E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List4</vt:lpstr>
      <vt:lpstr>List10</vt:lpstr>
      <vt:lpstr>List8</vt:lpstr>
      <vt:lpstr>List7</vt:lpstr>
      <vt:lpstr>List6</vt:lpstr>
      <vt:lpstr>List5</vt:lpstr>
      <vt:lpstr>List3</vt:lpstr>
      <vt:lpstr>List2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2021-10-08T08:47:49Z</dcterms:created>
  <dcterms:modified xsi:type="dcterms:W3CDTF">2021-10-08T14:33:27Z</dcterms:modified>
</cp:coreProperties>
</file>